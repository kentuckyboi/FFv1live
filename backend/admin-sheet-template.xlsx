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tyronegentry/Downloads/"/>
    </mc:Choice>
  </mc:AlternateContent>
  <xr:revisionPtr revIDLastSave="0" documentId="13_ncr:1_{DC67DC4B-6CA5-974C-B92C-BE922FE60331}" xr6:coauthVersionLast="47" xr6:coauthVersionMax="47" xr10:uidLastSave="{00000000-0000-0000-0000-000000000000}"/>
  <bookViews>
    <workbookView xWindow="0" yWindow="600" windowWidth="33560" windowHeight="17940" tabRatio="500" activeTab="1" xr2:uid="{00000000-000D-0000-FFFF-FFFF00000000}"/>
  </bookViews>
  <sheets>
    <sheet name="README" sheetId="1" r:id="rId1"/>
    <sheet name="Members" sheetId="2" r:id="rId2"/>
    <sheet name="Completions" sheetId="3" r:id="rId3"/>
    <sheet name="Live Progress" sheetId="4" r:id="rId4"/>
    <sheet name="Tasks Refere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04" i="4" l="1"/>
  <c r="C504" i="4"/>
  <c r="B504" i="4"/>
  <c r="A504" i="4"/>
  <c r="H504" i="4" s="1"/>
  <c r="D503" i="4"/>
  <c r="C503" i="4"/>
  <c r="B503" i="4"/>
  <c r="A503" i="4"/>
  <c r="F503" i="4" s="1"/>
  <c r="H502" i="4"/>
  <c r="D502" i="4"/>
  <c r="C502" i="4"/>
  <c r="B502" i="4"/>
  <c r="A502" i="4"/>
  <c r="G502" i="4" s="1"/>
  <c r="H501" i="4"/>
  <c r="G501" i="4"/>
  <c r="F501" i="4"/>
  <c r="D501" i="4"/>
  <c r="C501" i="4"/>
  <c r="B501" i="4"/>
  <c r="A501" i="4"/>
  <c r="E501" i="4" s="1"/>
  <c r="H500" i="4"/>
  <c r="F500" i="4"/>
  <c r="E500" i="4"/>
  <c r="D500" i="4"/>
  <c r="C500" i="4"/>
  <c r="B500" i="4"/>
  <c r="A500" i="4"/>
  <c r="G500" i="4" s="1"/>
  <c r="H499" i="4"/>
  <c r="G499" i="4"/>
  <c r="F499" i="4"/>
  <c r="D499" i="4"/>
  <c r="C499" i="4"/>
  <c r="B499" i="4"/>
  <c r="A499" i="4"/>
  <c r="E499" i="4" s="1"/>
  <c r="F498" i="4"/>
  <c r="E498" i="4"/>
  <c r="D498" i="4"/>
  <c r="C498" i="4"/>
  <c r="B498" i="4"/>
  <c r="A498" i="4"/>
  <c r="H497" i="4"/>
  <c r="G497" i="4"/>
  <c r="F497" i="4"/>
  <c r="E497" i="4"/>
  <c r="D497" i="4"/>
  <c r="C497" i="4"/>
  <c r="B497" i="4"/>
  <c r="A497" i="4"/>
  <c r="H496" i="4"/>
  <c r="D496" i="4"/>
  <c r="C496" i="4"/>
  <c r="B496" i="4"/>
  <c r="A496" i="4"/>
  <c r="F496" i="4" s="1"/>
  <c r="H495" i="4"/>
  <c r="F495" i="4"/>
  <c r="E495" i="4"/>
  <c r="D495" i="4"/>
  <c r="C495" i="4"/>
  <c r="B495" i="4"/>
  <c r="A495" i="4"/>
  <c r="G495" i="4" s="1"/>
  <c r="H494" i="4"/>
  <c r="G494" i="4"/>
  <c r="F494" i="4"/>
  <c r="D494" i="4"/>
  <c r="C494" i="4"/>
  <c r="B494" i="4"/>
  <c r="A494" i="4"/>
  <c r="E494" i="4" s="1"/>
  <c r="E493" i="4"/>
  <c r="D493" i="4"/>
  <c r="C493" i="4"/>
  <c r="B493" i="4"/>
  <c r="A493" i="4"/>
  <c r="H493" i="4" s="1"/>
  <c r="H492" i="4"/>
  <c r="G492" i="4"/>
  <c r="F492" i="4"/>
  <c r="E492" i="4"/>
  <c r="D492" i="4"/>
  <c r="C492" i="4"/>
  <c r="B492" i="4"/>
  <c r="A492" i="4"/>
  <c r="F491" i="4"/>
  <c r="D491" i="4"/>
  <c r="C491" i="4"/>
  <c r="B491" i="4"/>
  <c r="A491" i="4"/>
  <c r="H491" i="4" s="1"/>
  <c r="H490" i="4"/>
  <c r="F490" i="4"/>
  <c r="E490" i="4"/>
  <c r="D490" i="4"/>
  <c r="C490" i="4"/>
  <c r="B490" i="4"/>
  <c r="A490" i="4"/>
  <c r="G490" i="4" s="1"/>
  <c r="F489" i="4"/>
  <c r="D489" i="4"/>
  <c r="C489" i="4"/>
  <c r="B489" i="4"/>
  <c r="A489" i="4"/>
  <c r="E489" i="4" s="1"/>
  <c r="H488" i="4"/>
  <c r="D488" i="4"/>
  <c r="C488" i="4"/>
  <c r="B488" i="4"/>
  <c r="A488" i="4"/>
  <c r="F488" i="4" s="1"/>
  <c r="H487" i="4"/>
  <c r="G487" i="4"/>
  <c r="F487" i="4"/>
  <c r="E487" i="4"/>
  <c r="D487" i="4"/>
  <c r="C487" i="4"/>
  <c r="B487" i="4"/>
  <c r="A487" i="4"/>
  <c r="H486" i="4"/>
  <c r="G486" i="4"/>
  <c r="F486" i="4"/>
  <c r="E486" i="4"/>
  <c r="D486" i="4"/>
  <c r="C486" i="4"/>
  <c r="B486" i="4"/>
  <c r="A486" i="4"/>
  <c r="D485" i="4"/>
  <c r="C485" i="4"/>
  <c r="B485" i="4"/>
  <c r="A485" i="4"/>
  <c r="D484" i="4"/>
  <c r="C484" i="4"/>
  <c r="B484" i="4"/>
  <c r="A484" i="4"/>
  <c r="E484" i="4" s="1"/>
  <c r="F483" i="4"/>
  <c r="D483" i="4"/>
  <c r="C483" i="4"/>
  <c r="B483" i="4"/>
  <c r="A483" i="4"/>
  <c r="H483" i="4" s="1"/>
  <c r="H482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H481" i="4" s="1"/>
  <c r="D480" i="4"/>
  <c r="C480" i="4"/>
  <c r="B480" i="4"/>
  <c r="A480" i="4"/>
  <c r="G480" i="4" s="1"/>
  <c r="G479" i="4"/>
  <c r="D479" i="4"/>
  <c r="C479" i="4"/>
  <c r="B479" i="4"/>
  <c r="A479" i="4"/>
  <c r="E479" i="4" s="1"/>
  <c r="H478" i="4"/>
  <c r="G478" i="4"/>
  <c r="F478" i="4"/>
  <c r="E478" i="4"/>
  <c r="D478" i="4"/>
  <c r="C478" i="4"/>
  <c r="B478" i="4"/>
  <c r="A478" i="4"/>
  <c r="H477" i="4"/>
  <c r="G477" i="4"/>
  <c r="F477" i="4"/>
  <c r="E477" i="4"/>
  <c r="D477" i="4"/>
  <c r="C477" i="4"/>
  <c r="B477" i="4"/>
  <c r="A477" i="4"/>
  <c r="E476" i="4"/>
  <c r="D476" i="4"/>
  <c r="C476" i="4"/>
  <c r="B476" i="4"/>
  <c r="A476" i="4"/>
  <c r="H476" i="4" s="1"/>
  <c r="H475" i="4"/>
  <c r="D475" i="4"/>
  <c r="C475" i="4"/>
  <c r="B475" i="4"/>
  <c r="A475" i="4"/>
  <c r="G475" i="4" s="1"/>
  <c r="H474" i="4"/>
  <c r="G474" i="4"/>
  <c r="F474" i="4"/>
  <c r="D474" i="4"/>
  <c r="C474" i="4"/>
  <c r="B474" i="4"/>
  <c r="A474" i="4"/>
  <c r="E474" i="4" s="1"/>
  <c r="G473" i="4"/>
  <c r="F473" i="4"/>
  <c r="E473" i="4"/>
  <c r="D473" i="4"/>
  <c r="C473" i="4"/>
  <c r="B473" i="4"/>
  <c r="A473" i="4"/>
  <c r="H473" i="4" s="1"/>
  <c r="H472" i="4"/>
  <c r="G472" i="4"/>
  <c r="F472" i="4"/>
  <c r="E472" i="4"/>
  <c r="D472" i="4"/>
  <c r="C472" i="4"/>
  <c r="B472" i="4"/>
  <c r="A472" i="4"/>
  <c r="H471" i="4"/>
  <c r="D471" i="4"/>
  <c r="C471" i="4"/>
  <c r="B471" i="4"/>
  <c r="A471" i="4"/>
  <c r="F471" i="4" s="1"/>
  <c r="H470" i="4"/>
  <c r="F470" i="4"/>
  <c r="E470" i="4"/>
  <c r="D470" i="4"/>
  <c r="C470" i="4"/>
  <c r="B470" i="4"/>
  <c r="A470" i="4"/>
  <c r="G470" i="4" s="1"/>
  <c r="H469" i="4"/>
  <c r="G469" i="4"/>
  <c r="F469" i="4"/>
  <c r="D469" i="4"/>
  <c r="C469" i="4"/>
  <c r="B469" i="4"/>
  <c r="A469" i="4"/>
  <c r="E469" i="4" s="1"/>
  <c r="E468" i="4"/>
  <c r="D468" i="4"/>
  <c r="C468" i="4"/>
  <c r="B468" i="4"/>
  <c r="A468" i="4"/>
  <c r="H468" i="4" s="1"/>
  <c r="H467" i="4"/>
  <c r="G467" i="4"/>
  <c r="F467" i="4"/>
  <c r="E467" i="4"/>
  <c r="D467" i="4"/>
  <c r="C467" i="4"/>
  <c r="B467" i="4"/>
  <c r="A467" i="4"/>
  <c r="F466" i="4"/>
  <c r="D466" i="4"/>
  <c r="C466" i="4"/>
  <c r="B466" i="4"/>
  <c r="A466" i="4"/>
  <c r="H466" i="4" s="1"/>
  <c r="H465" i="4"/>
  <c r="F465" i="4"/>
  <c r="E465" i="4"/>
  <c r="D465" i="4"/>
  <c r="C465" i="4"/>
  <c r="B465" i="4"/>
  <c r="A465" i="4"/>
  <c r="G465" i="4" s="1"/>
  <c r="F464" i="4"/>
  <c r="D464" i="4"/>
  <c r="C464" i="4"/>
  <c r="B464" i="4"/>
  <c r="A464" i="4"/>
  <c r="E464" i="4" s="1"/>
  <c r="H463" i="4"/>
  <c r="D463" i="4"/>
  <c r="C463" i="4"/>
  <c r="B463" i="4"/>
  <c r="A463" i="4"/>
  <c r="F463" i="4" s="1"/>
  <c r="H462" i="4"/>
  <c r="G462" i="4"/>
  <c r="F462" i="4"/>
  <c r="E462" i="4"/>
  <c r="D462" i="4"/>
  <c r="C462" i="4"/>
  <c r="B462" i="4"/>
  <c r="A462" i="4"/>
  <c r="H461" i="4"/>
  <c r="G461" i="4"/>
  <c r="F461" i="4"/>
  <c r="E461" i="4"/>
  <c r="D461" i="4"/>
  <c r="C461" i="4"/>
  <c r="B461" i="4"/>
  <c r="A461" i="4"/>
  <c r="D460" i="4"/>
  <c r="C460" i="4"/>
  <c r="B460" i="4"/>
  <c r="A460" i="4"/>
  <c r="D459" i="4"/>
  <c r="C459" i="4"/>
  <c r="B459" i="4"/>
  <c r="A459" i="4"/>
  <c r="E459" i="4" s="1"/>
  <c r="F458" i="4"/>
  <c r="D458" i="4"/>
  <c r="C458" i="4"/>
  <c r="B458" i="4"/>
  <c r="A458" i="4"/>
  <c r="H458" i="4" s="1"/>
  <c r="H457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H456" i="4" s="1"/>
  <c r="D455" i="4"/>
  <c r="C455" i="4"/>
  <c r="B455" i="4"/>
  <c r="A455" i="4"/>
  <c r="G455" i="4" s="1"/>
  <c r="G454" i="4"/>
  <c r="D454" i="4"/>
  <c r="C454" i="4"/>
  <c r="B454" i="4"/>
  <c r="A454" i="4"/>
  <c r="E454" i="4" s="1"/>
  <c r="H453" i="4"/>
  <c r="G453" i="4"/>
  <c r="F453" i="4"/>
  <c r="E453" i="4"/>
  <c r="D453" i="4"/>
  <c r="C453" i="4"/>
  <c r="B453" i="4"/>
  <c r="A453" i="4"/>
  <c r="H452" i="4"/>
  <c r="G452" i="4"/>
  <c r="F452" i="4"/>
  <c r="E452" i="4"/>
  <c r="D452" i="4"/>
  <c r="C452" i="4"/>
  <c r="B452" i="4"/>
  <c r="A452" i="4"/>
  <c r="E451" i="4"/>
  <c r="D451" i="4"/>
  <c r="C451" i="4"/>
  <c r="B451" i="4"/>
  <c r="A451" i="4"/>
  <c r="H451" i="4" s="1"/>
  <c r="H450" i="4"/>
  <c r="D450" i="4"/>
  <c r="C450" i="4"/>
  <c r="B450" i="4"/>
  <c r="A450" i="4"/>
  <c r="G450" i="4" s="1"/>
  <c r="H449" i="4"/>
  <c r="G449" i="4"/>
  <c r="F449" i="4"/>
  <c r="D449" i="4"/>
  <c r="C449" i="4"/>
  <c r="B449" i="4"/>
  <c r="A449" i="4"/>
  <c r="E449" i="4" s="1"/>
  <c r="G448" i="4"/>
  <c r="F448" i="4"/>
  <c r="E448" i="4"/>
  <c r="D448" i="4"/>
  <c r="C448" i="4"/>
  <c r="B448" i="4"/>
  <c r="A448" i="4"/>
  <c r="H448" i="4" s="1"/>
  <c r="H447" i="4"/>
  <c r="G447" i="4"/>
  <c r="F447" i="4"/>
  <c r="E447" i="4"/>
  <c r="D447" i="4"/>
  <c r="C447" i="4"/>
  <c r="B447" i="4"/>
  <c r="A447" i="4"/>
  <c r="H446" i="4"/>
  <c r="D446" i="4"/>
  <c r="C446" i="4"/>
  <c r="B446" i="4"/>
  <c r="A446" i="4"/>
  <c r="H445" i="4"/>
  <c r="F445" i="4"/>
  <c r="E445" i="4"/>
  <c r="D445" i="4"/>
  <c r="C445" i="4"/>
  <c r="B445" i="4"/>
  <c r="A445" i="4"/>
  <c r="G445" i="4" s="1"/>
  <c r="H444" i="4"/>
  <c r="G444" i="4"/>
  <c r="F444" i="4"/>
  <c r="D444" i="4"/>
  <c r="C444" i="4"/>
  <c r="B444" i="4"/>
  <c r="A444" i="4"/>
  <c r="E444" i="4" s="1"/>
  <c r="E443" i="4"/>
  <c r="D443" i="4"/>
  <c r="C443" i="4"/>
  <c r="B443" i="4"/>
  <c r="A443" i="4"/>
  <c r="H443" i="4" s="1"/>
  <c r="H442" i="4"/>
  <c r="G442" i="4"/>
  <c r="F442" i="4"/>
  <c r="E442" i="4"/>
  <c r="D442" i="4"/>
  <c r="C442" i="4"/>
  <c r="B442" i="4"/>
  <c r="A442" i="4"/>
  <c r="D441" i="4"/>
  <c r="C441" i="4"/>
  <c r="B441" i="4"/>
  <c r="A441" i="4"/>
  <c r="H440" i="4"/>
  <c r="F440" i="4"/>
  <c r="E440" i="4"/>
  <c r="D440" i="4"/>
  <c r="C440" i="4"/>
  <c r="B440" i="4"/>
  <c r="A440" i="4"/>
  <c r="G440" i="4" s="1"/>
  <c r="F439" i="4"/>
  <c r="D439" i="4"/>
  <c r="C439" i="4"/>
  <c r="B439" i="4"/>
  <c r="A439" i="4"/>
  <c r="E439" i="4" s="1"/>
  <c r="H438" i="4"/>
  <c r="D438" i="4"/>
  <c r="C438" i="4"/>
  <c r="B438" i="4"/>
  <c r="A438" i="4"/>
  <c r="H437" i="4"/>
  <c r="G437" i="4"/>
  <c r="F437" i="4"/>
  <c r="E437" i="4"/>
  <c r="D437" i="4"/>
  <c r="C437" i="4"/>
  <c r="B437" i="4"/>
  <c r="A437" i="4"/>
  <c r="H436" i="4"/>
  <c r="G436" i="4"/>
  <c r="F436" i="4"/>
  <c r="E436" i="4"/>
  <c r="D436" i="4"/>
  <c r="C436" i="4"/>
  <c r="B436" i="4"/>
  <c r="A436" i="4"/>
  <c r="D435" i="4"/>
  <c r="C435" i="4"/>
  <c r="B435" i="4"/>
  <c r="A435" i="4"/>
  <c r="F435" i="4" s="1"/>
  <c r="D434" i="4"/>
  <c r="C434" i="4"/>
  <c r="B434" i="4"/>
  <c r="A434" i="4"/>
  <c r="D433" i="4"/>
  <c r="C433" i="4"/>
  <c r="B433" i="4"/>
  <c r="A433" i="4"/>
  <c r="E433" i="4" s="1"/>
  <c r="H432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H431" i="4" s="1"/>
  <c r="D430" i="4"/>
  <c r="C430" i="4"/>
  <c r="B430" i="4"/>
  <c r="A430" i="4"/>
  <c r="H429" i="4"/>
  <c r="G429" i="4"/>
  <c r="D429" i="4"/>
  <c r="C429" i="4"/>
  <c r="B429" i="4"/>
  <c r="A429" i="4"/>
  <c r="H428" i="4"/>
  <c r="G428" i="4"/>
  <c r="F428" i="4"/>
  <c r="E428" i="4"/>
  <c r="D428" i="4"/>
  <c r="C428" i="4"/>
  <c r="B428" i="4"/>
  <c r="A428" i="4"/>
  <c r="H427" i="4"/>
  <c r="G427" i="4"/>
  <c r="F427" i="4"/>
  <c r="E427" i="4"/>
  <c r="D427" i="4"/>
  <c r="C427" i="4"/>
  <c r="B427" i="4"/>
  <c r="A427" i="4"/>
  <c r="E426" i="4"/>
  <c r="D426" i="4"/>
  <c r="C426" i="4"/>
  <c r="B426" i="4"/>
  <c r="A426" i="4"/>
  <c r="D425" i="4"/>
  <c r="C425" i="4"/>
  <c r="B425" i="4"/>
  <c r="A425" i="4"/>
  <c r="H424" i="4"/>
  <c r="G424" i="4"/>
  <c r="F424" i="4"/>
  <c r="D424" i="4"/>
  <c r="C424" i="4"/>
  <c r="B424" i="4"/>
  <c r="A424" i="4"/>
  <c r="E424" i="4" s="1"/>
  <c r="G423" i="4"/>
  <c r="F423" i="4"/>
  <c r="E423" i="4"/>
  <c r="D423" i="4"/>
  <c r="C423" i="4"/>
  <c r="B423" i="4"/>
  <c r="A423" i="4"/>
  <c r="H423" i="4" s="1"/>
  <c r="H422" i="4"/>
  <c r="G422" i="4"/>
  <c r="F422" i="4"/>
  <c r="E422" i="4"/>
  <c r="D422" i="4"/>
  <c r="C422" i="4"/>
  <c r="B422" i="4"/>
  <c r="A422" i="4"/>
  <c r="D421" i="4"/>
  <c r="C421" i="4"/>
  <c r="B421" i="4"/>
  <c r="A421" i="4"/>
  <c r="H421" i="4" s="1"/>
  <c r="H420" i="4"/>
  <c r="F420" i="4"/>
  <c r="E420" i="4"/>
  <c r="D420" i="4"/>
  <c r="C420" i="4"/>
  <c r="B420" i="4"/>
  <c r="A420" i="4"/>
  <c r="G420" i="4" s="1"/>
  <c r="H419" i="4"/>
  <c r="G419" i="4"/>
  <c r="F419" i="4"/>
  <c r="D419" i="4"/>
  <c r="C419" i="4"/>
  <c r="B419" i="4"/>
  <c r="A419" i="4"/>
  <c r="E419" i="4" s="1"/>
  <c r="E418" i="4"/>
  <c r="D418" i="4"/>
  <c r="C418" i="4"/>
  <c r="B418" i="4"/>
  <c r="A418" i="4"/>
  <c r="H417" i="4"/>
  <c r="G417" i="4"/>
  <c r="F417" i="4"/>
  <c r="E417" i="4"/>
  <c r="D417" i="4"/>
  <c r="C417" i="4"/>
  <c r="B417" i="4"/>
  <c r="A417" i="4"/>
  <c r="F416" i="4"/>
  <c r="D416" i="4"/>
  <c r="C416" i="4"/>
  <c r="B416" i="4"/>
  <c r="A416" i="4"/>
  <c r="E416" i="4" s="1"/>
  <c r="H415" i="4"/>
  <c r="F415" i="4"/>
  <c r="E415" i="4"/>
  <c r="D415" i="4"/>
  <c r="C415" i="4"/>
  <c r="B415" i="4"/>
  <c r="A415" i="4"/>
  <c r="G415" i="4" s="1"/>
  <c r="F414" i="4"/>
  <c r="D414" i="4"/>
  <c r="C414" i="4"/>
  <c r="B414" i="4"/>
  <c r="A414" i="4"/>
  <c r="D413" i="4"/>
  <c r="C413" i="4"/>
  <c r="B413" i="4"/>
  <c r="A413" i="4"/>
  <c r="H412" i="4"/>
  <c r="G412" i="4"/>
  <c r="F412" i="4"/>
  <c r="E412" i="4"/>
  <c r="D412" i="4"/>
  <c r="C412" i="4"/>
  <c r="B412" i="4"/>
  <c r="A412" i="4"/>
  <c r="H411" i="4"/>
  <c r="G411" i="4"/>
  <c r="F411" i="4"/>
  <c r="E411" i="4"/>
  <c r="D411" i="4"/>
  <c r="C411" i="4"/>
  <c r="B411" i="4"/>
  <c r="A411" i="4"/>
  <c r="D410" i="4"/>
  <c r="C410" i="4"/>
  <c r="B410" i="4"/>
  <c r="A410" i="4"/>
  <c r="D409" i="4"/>
  <c r="C409" i="4"/>
  <c r="B409" i="4"/>
  <c r="A409" i="4"/>
  <c r="F408" i="4"/>
  <c r="D408" i="4"/>
  <c r="C408" i="4"/>
  <c r="B408" i="4"/>
  <c r="A408" i="4"/>
  <c r="E408" i="4" s="1"/>
  <c r="H407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H406" i="4" s="1"/>
  <c r="D405" i="4"/>
  <c r="C405" i="4"/>
  <c r="B405" i="4"/>
  <c r="A405" i="4"/>
  <c r="H404" i="4"/>
  <c r="G404" i="4"/>
  <c r="D404" i="4"/>
  <c r="C404" i="4"/>
  <c r="B404" i="4"/>
  <c r="A404" i="4"/>
  <c r="H403" i="4"/>
  <c r="G403" i="4"/>
  <c r="F403" i="4"/>
  <c r="E403" i="4"/>
  <c r="D403" i="4"/>
  <c r="C403" i="4"/>
  <c r="B403" i="4"/>
  <c r="A403" i="4"/>
  <c r="H402" i="4"/>
  <c r="G402" i="4"/>
  <c r="F402" i="4"/>
  <c r="E402" i="4"/>
  <c r="D402" i="4"/>
  <c r="C402" i="4"/>
  <c r="B402" i="4"/>
  <c r="A402" i="4"/>
  <c r="D401" i="4"/>
  <c r="C401" i="4"/>
  <c r="B401" i="4"/>
  <c r="A401" i="4"/>
  <c r="E401" i="4" s="1"/>
  <c r="D400" i="4"/>
  <c r="C400" i="4"/>
  <c r="B400" i="4"/>
  <c r="A400" i="4"/>
  <c r="H399" i="4"/>
  <c r="G399" i="4"/>
  <c r="F399" i="4"/>
  <c r="D399" i="4"/>
  <c r="C399" i="4"/>
  <c r="B399" i="4"/>
  <c r="A399" i="4"/>
  <c r="E399" i="4" s="1"/>
  <c r="H398" i="4"/>
  <c r="G398" i="4"/>
  <c r="F398" i="4"/>
  <c r="E398" i="4"/>
  <c r="D398" i="4"/>
  <c r="C398" i="4"/>
  <c r="B398" i="4"/>
  <c r="A398" i="4"/>
  <c r="H397" i="4"/>
  <c r="G397" i="4"/>
  <c r="F397" i="4"/>
  <c r="E397" i="4"/>
  <c r="D397" i="4"/>
  <c r="C397" i="4"/>
  <c r="B397" i="4"/>
  <c r="A397" i="4"/>
  <c r="D396" i="4"/>
  <c r="C396" i="4"/>
  <c r="B396" i="4"/>
  <c r="A396" i="4"/>
  <c r="H395" i="4"/>
  <c r="F395" i="4"/>
  <c r="E395" i="4"/>
  <c r="D395" i="4"/>
  <c r="C395" i="4"/>
  <c r="B395" i="4"/>
  <c r="A395" i="4"/>
  <c r="G395" i="4" s="1"/>
  <c r="H394" i="4"/>
  <c r="G394" i="4"/>
  <c r="F394" i="4"/>
  <c r="D394" i="4"/>
  <c r="C394" i="4"/>
  <c r="B394" i="4"/>
  <c r="A394" i="4"/>
  <c r="E394" i="4" s="1"/>
  <c r="D393" i="4"/>
  <c r="C393" i="4"/>
  <c r="B393" i="4"/>
  <c r="A393" i="4"/>
  <c r="H392" i="4"/>
  <c r="G392" i="4"/>
  <c r="F392" i="4"/>
  <c r="E392" i="4"/>
  <c r="D392" i="4"/>
  <c r="C392" i="4"/>
  <c r="B392" i="4"/>
  <c r="A392" i="4"/>
  <c r="H391" i="4"/>
  <c r="G391" i="4"/>
  <c r="F391" i="4"/>
  <c r="D391" i="4"/>
  <c r="C391" i="4"/>
  <c r="B391" i="4"/>
  <c r="A391" i="4"/>
  <c r="E391" i="4" s="1"/>
  <c r="H390" i="4"/>
  <c r="F390" i="4"/>
  <c r="E390" i="4"/>
  <c r="D390" i="4"/>
  <c r="C390" i="4"/>
  <c r="B390" i="4"/>
  <c r="A390" i="4"/>
  <c r="G390" i="4" s="1"/>
  <c r="F389" i="4"/>
  <c r="D389" i="4"/>
  <c r="C389" i="4"/>
  <c r="B389" i="4"/>
  <c r="A389" i="4"/>
  <c r="D388" i="4"/>
  <c r="C388" i="4"/>
  <c r="B388" i="4"/>
  <c r="A388" i="4"/>
  <c r="H387" i="4"/>
  <c r="G387" i="4"/>
  <c r="F387" i="4"/>
  <c r="E387" i="4"/>
  <c r="D387" i="4"/>
  <c r="C387" i="4"/>
  <c r="B387" i="4"/>
  <c r="A387" i="4"/>
  <c r="H386" i="4"/>
  <c r="G386" i="4"/>
  <c r="F386" i="4"/>
  <c r="E386" i="4"/>
  <c r="D386" i="4"/>
  <c r="C386" i="4"/>
  <c r="B386" i="4"/>
  <c r="A386" i="4"/>
  <c r="F385" i="4"/>
  <c r="E385" i="4"/>
  <c r="D385" i="4"/>
  <c r="C385" i="4"/>
  <c r="B385" i="4"/>
  <c r="A385" i="4"/>
  <c r="D384" i="4"/>
  <c r="C384" i="4"/>
  <c r="B384" i="4"/>
  <c r="A384" i="4"/>
  <c r="H383" i="4"/>
  <c r="G383" i="4"/>
  <c r="F383" i="4"/>
  <c r="D383" i="4"/>
  <c r="C383" i="4"/>
  <c r="B383" i="4"/>
  <c r="A383" i="4"/>
  <c r="E383" i="4" s="1"/>
  <c r="H382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H381" i="4" s="1"/>
  <c r="D380" i="4"/>
  <c r="C380" i="4"/>
  <c r="B380" i="4"/>
  <c r="A380" i="4"/>
  <c r="D379" i="4"/>
  <c r="C379" i="4"/>
  <c r="B379" i="4"/>
  <c r="A379" i="4"/>
  <c r="H378" i="4"/>
  <c r="G378" i="4"/>
  <c r="F378" i="4"/>
  <c r="E378" i="4"/>
  <c r="D378" i="4"/>
  <c r="C378" i="4"/>
  <c r="B378" i="4"/>
  <c r="A378" i="4"/>
  <c r="H377" i="4"/>
  <c r="G377" i="4"/>
  <c r="F377" i="4"/>
  <c r="E377" i="4"/>
  <c r="D377" i="4"/>
  <c r="C377" i="4"/>
  <c r="B377" i="4"/>
  <c r="A377" i="4"/>
  <c r="D376" i="4"/>
  <c r="C376" i="4"/>
  <c r="B376" i="4"/>
  <c r="A376" i="4"/>
  <c r="H375" i="4"/>
  <c r="D375" i="4"/>
  <c r="C375" i="4"/>
  <c r="B375" i="4"/>
  <c r="A375" i="4"/>
  <c r="H374" i="4"/>
  <c r="G374" i="4"/>
  <c r="F374" i="4"/>
  <c r="D374" i="4"/>
  <c r="C374" i="4"/>
  <c r="B374" i="4"/>
  <c r="A374" i="4"/>
  <c r="E374" i="4" s="1"/>
  <c r="G373" i="4"/>
  <c r="F373" i="4"/>
  <c r="E373" i="4"/>
  <c r="D373" i="4"/>
  <c r="C373" i="4"/>
  <c r="B373" i="4"/>
  <c r="A373" i="4"/>
  <c r="H373" i="4" s="1"/>
  <c r="H372" i="4"/>
  <c r="G372" i="4"/>
  <c r="F372" i="4"/>
  <c r="E372" i="4"/>
  <c r="D372" i="4"/>
  <c r="C372" i="4"/>
  <c r="B372" i="4"/>
  <c r="A372" i="4"/>
  <c r="D371" i="4"/>
  <c r="C371" i="4"/>
  <c r="B371" i="4"/>
  <c r="A371" i="4"/>
  <c r="H370" i="4"/>
  <c r="F370" i="4"/>
  <c r="E370" i="4"/>
  <c r="D370" i="4"/>
  <c r="C370" i="4"/>
  <c r="B370" i="4"/>
  <c r="A370" i="4"/>
  <c r="G370" i="4" s="1"/>
  <c r="H369" i="4"/>
  <c r="G369" i="4"/>
  <c r="F369" i="4"/>
  <c r="D369" i="4"/>
  <c r="C369" i="4"/>
  <c r="B369" i="4"/>
  <c r="A369" i="4"/>
  <c r="E369" i="4" s="1"/>
  <c r="D368" i="4"/>
  <c r="C368" i="4"/>
  <c r="B368" i="4"/>
  <c r="A368" i="4"/>
  <c r="H367" i="4"/>
  <c r="G367" i="4"/>
  <c r="F367" i="4"/>
  <c r="E367" i="4"/>
  <c r="D367" i="4"/>
  <c r="C367" i="4"/>
  <c r="B367" i="4"/>
  <c r="A367" i="4"/>
  <c r="H366" i="4"/>
  <c r="G366" i="4"/>
  <c r="F366" i="4"/>
  <c r="D366" i="4"/>
  <c r="C366" i="4"/>
  <c r="B366" i="4"/>
  <c r="A366" i="4"/>
  <c r="E366" i="4" s="1"/>
  <c r="H365" i="4"/>
  <c r="F365" i="4"/>
  <c r="E365" i="4"/>
  <c r="D365" i="4"/>
  <c r="C365" i="4"/>
  <c r="B365" i="4"/>
  <c r="A365" i="4"/>
  <c r="G365" i="4" s="1"/>
  <c r="D364" i="4"/>
  <c r="C364" i="4"/>
  <c r="B364" i="4"/>
  <c r="A364" i="4"/>
  <c r="H363" i="4"/>
  <c r="D363" i="4"/>
  <c r="C363" i="4"/>
  <c r="B363" i="4"/>
  <c r="A363" i="4"/>
  <c r="H362" i="4"/>
  <c r="G362" i="4"/>
  <c r="F362" i="4"/>
  <c r="E362" i="4"/>
  <c r="D362" i="4"/>
  <c r="C362" i="4"/>
  <c r="B362" i="4"/>
  <c r="A362" i="4"/>
  <c r="H361" i="4"/>
  <c r="G361" i="4"/>
  <c r="F361" i="4"/>
  <c r="E361" i="4"/>
  <c r="D361" i="4"/>
  <c r="C361" i="4"/>
  <c r="B361" i="4"/>
  <c r="A361" i="4"/>
  <c r="F360" i="4"/>
  <c r="E360" i="4"/>
  <c r="D360" i="4"/>
  <c r="C360" i="4"/>
  <c r="B360" i="4"/>
  <c r="A360" i="4"/>
  <c r="D359" i="4"/>
  <c r="C359" i="4"/>
  <c r="B359" i="4"/>
  <c r="A359" i="4"/>
  <c r="H358" i="4"/>
  <c r="G358" i="4"/>
  <c r="F358" i="4"/>
  <c r="D358" i="4"/>
  <c r="C358" i="4"/>
  <c r="B358" i="4"/>
  <c r="A358" i="4"/>
  <c r="E358" i="4" s="1"/>
  <c r="H357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H356" i="4" s="1"/>
  <c r="D355" i="4"/>
  <c r="C355" i="4"/>
  <c r="B355" i="4"/>
  <c r="A355" i="4"/>
  <c r="G354" i="4"/>
  <c r="D354" i="4"/>
  <c r="C354" i="4"/>
  <c r="B354" i="4"/>
  <c r="A354" i="4"/>
  <c r="H353" i="4"/>
  <c r="G353" i="4"/>
  <c r="F353" i="4"/>
  <c r="E353" i="4"/>
  <c r="D353" i="4"/>
  <c r="C353" i="4"/>
  <c r="B353" i="4"/>
  <c r="A353" i="4"/>
  <c r="H352" i="4"/>
  <c r="G352" i="4"/>
  <c r="F352" i="4"/>
  <c r="E352" i="4"/>
  <c r="D352" i="4"/>
  <c r="C352" i="4"/>
  <c r="B352" i="4"/>
  <c r="A352" i="4"/>
  <c r="D351" i="4"/>
  <c r="C351" i="4"/>
  <c r="B351" i="4"/>
  <c r="A351" i="4"/>
  <c r="D350" i="4"/>
  <c r="C350" i="4"/>
  <c r="B350" i="4"/>
  <c r="A350" i="4"/>
  <c r="H349" i="4"/>
  <c r="G349" i="4"/>
  <c r="F349" i="4"/>
  <c r="D349" i="4"/>
  <c r="C349" i="4"/>
  <c r="B349" i="4"/>
  <c r="A349" i="4"/>
  <c r="E349" i="4" s="1"/>
  <c r="H348" i="4"/>
  <c r="G348" i="4"/>
  <c r="F348" i="4"/>
  <c r="E348" i="4"/>
  <c r="D348" i="4"/>
  <c r="C348" i="4"/>
  <c r="B348" i="4"/>
  <c r="A348" i="4"/>
  <c r="H347" i="4"/>
  <c r="G347" i="4"/>
  <c r="F347" i="4"/>
  <c r="E347" i="4"/>
  <c r="D347" i="4"/>
  <c r="C347" i="4"/>
  <c r="B347" i="4"/>
  <c r="A347" i="4"/>
  <c r="H346" i="4"/>
  <c r="D346" i="4"/>
  <c r="C346" i="4"/>
  <c r="B346" i="4"/>
  <c r="A346" i="4"/>
  <c r="H345" i="4"/>
  <c r="F345" i="4"/>
  <c r="E345" i="4"/>
  <c r="D345" i="4"/>
  <c r="C345" i="4"/>
  <c r="B345" i="4"/>
  <c r="A345" i="4"/>
  <c r="G345" i="4" s="1"/>
  <c r="H344" i="4"/>
  <c r="G344" i="4"/>
  <c r="F344" i="4"/>
  <c r="D344" i="4"/>
  <c r="C344" i="4"/>
  <c r="B344" i="4"/>
  <c r="A344" i="4"/>
  <c r="E344" i="4" s="1"/>
  <c r="E343" i="4"/>
  <c r="D343" i="4"/>
  <c r="C343" i="4"/>
  <c r="B343" i="4"/>
  <c r="A343" i="4"/>
  <c r="H342" i="4"/>
  <c r="G342" i="4"/>
  <c r="F342" i="4"/>
  <c r="E342" i="4"/>
  <c r="D342" i="4"/>
  <c r="C342" i="4"/>
  <c r="B342" i="4"/>
  <c r="A342" i="4"/>
  <c r="D341" i="4"/>
  <c r="C341" i="4"/>
  <c r="B341" i="4"/>
  <c r="A341" i="4"/>
  <c r="H340" i="4"/>
  <c r="F340" i="4"/>
  <c r="E340" i="4"/>
  <c r="D340" i="4"/>
  <c r="C340" i="4"/>
  <c r="B340" i="4"/>
  <c r="A340" i="4"/>
  <c r="G340" i="4" s="1"/>
  <c r="D339" i="4"/>
  <c r="C339" i="4"/>
  <c r="B339" i="4"/>
  <c r="A339" i="4"/>
  <c r="H338" i="4"/>
  <c r="D338" i="4"/>
  <c r="C338" i="4"/>
  <c r="B338" i="4"/>
  <c r="A338" i="4"/>
  <c r="H337" i="4"/>
  <c r="G337" i="4"/>
  <c r="F337" i="4"/>
  <c r="E337" i="4"/>
  <c r="D337" i="4"/>
  <c r="C337" i="4"/>
  <c r="B337" i="4"/>
  <c r="A337" i="4"/>
  <c r="H336" i="4"/>
  <c r="G336" i="4"/>
  <c r="F336" i="4"/>
  <c r="E336" i="4"/>
  <c r="D336" i="4"/>
  <c r="C336" i="4"/>
  <c r="B336" i="4"/>
  <c r="A336" i="4"/>
  <c r="D335" i="4"/>
  <c r="C335" i="4"/>
  <c r="B335" i="4"/>
  <c r="A335" i="4"/>
  <c r="D334" i="4"/>
  <c r="C334" i="4"/>
  <c r="B334" i="4"/>
  <c r="A334" i="4"/>
  <c r="D333" i="4"/>
  <c r="C333" i="4"/>
  <c r="B333" i="4"/>
  <c r="A333" i="4"/>
  <c r="H332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H331" i="4" s="1"/>
  <c r="D330" i="4"/>
  <c r="C330" i="4"/>
  <c r="B330" i="4"/>
  <c r="A330" i="4"/>
  <c r="H329" i="4"/>
  <c r="G329" i="4"/>
  <c r="D329" i="4"/>
  <c r="C329" i="4"/>
  <c r="B329" i="4"/>
  <c r="A329" i="4"/>
  <c r="H328" i="4"/>
  <c r="G328" i="4"/>
  <c r="F328" i="4"/>
  <c r="E328" i="4"/>
  <c r="D328" i="4"/>
  <c r="C328" i="4"/>
  <c r="B328" i="4"/>
  <c r="A328" i="4"/>
  <c r="H327" i="4"/>
  <c r="G327" i="4"/>
  <c r="F327" i="4"/>
  <c r="E327" i="4"/>
  <c r="D327" i="4"/>
  <c r="C327" i="4"/>
  <c r="B327" i="4"/>
  <c r="A327" i="4"/>
  <c r="E326" i="4"/>
  <c r="D326" i="4"/>
  <c r="C326" i="4"/>
  <c r="B326" i="4"/>
  <c r="A326" i="4"/>
  <c r="D325" i="4"/>
  <c r="C325" i="4"/>
  <c r="B325" i="4"/>
  <c r="A325" i="4"/>
  <c r="H324" i="4"/>
  <c r="G324" i="4"/>
  <c r="F324" i="4"/>
  <c r="D324" i="4"/>
  <c r="C324" i="4"/>
  <c r="B324" i="4"/>
  <c r="A324" i="4"/>
  <c r="E324" i="4" s="1"/>
  <c r="H323" i="4"/>
  <c r="G323" i="4"/>
  <c r="F323" i="4"/>
  <c r="E323" i="4"/>
  <c r="D323" i="4"/>
  <c r="C323" i="4"/>
  <c r="B323" i="4"/>
  <c r="A323" i="4"/>
  <c r="H322" i="4"/>
  <c r="G322" i="4"/>
  <c r="F322" i="4"/>
  <c r="E322" i="4"/>
  <c r="D322" i="4"/>
  <c r="C322" i="4"/>
  <c r="B322" i="4"/>
  <c r="A322" i="4"/>
  <c r="D321" i="4"/>
  <c r="C321" i="4"/>
  <c r="B321" i="4"/>
  <c r="A321" i="4"/>
  <c r="H320" i="4"/>
  <c r="F320" i="4"/>
  <c r="E320" i="4"/>
  <c r="D320" i="4"/>
  <c r="C320" i="4"/>
  <c r="B320" i="4"/>
  <c r="A320" i="4"/>
  <c r="G320" i="4" s="1"/>
  <c r="H319" i="4"/>
  <c r="G319" i="4"/>
  <c r="F319" i="4"/>
  <c r="D319" i="4"/>
  <c r="C319" i="4"/>
  <c r="B319" i="4"/>
  <c r="A319" i="4"/>
  <c r="E319" i="4" s="1"/>
  <c r="D318" i="4"/>
  <c r="C318" i="4"/>
  <c r="B318" i="4"/>
  <c r="A318" i="4"/>
  <c r="H317" i="4"/>
  <c r="G317" i="4"/>
  <c r="F317" i="4"/>
  <c r="E317" i="4"/>
  <c r="D317" i="4"/>
  <c r="C317" i="4"/>
  <c r="B317" i="4"/>
  <c r="A317" i="4"/>
  <c r="D316" i="4"/>
  <c r="C316" i="4"/>
  <c r="B316" i="4"/>
  <c r="A316" i="4"/>
  <c r="H315" i="4"/>
  <c r="F315" i="4"/>
  <c r="E315" i="4"/>
  <c r="D315" i="4"/>
  <c r="C315" i="4"/>
  <c r="B315" i="4"/>
  <c r="A315" i="4"/>
  <c r="G315" i="4" s="1"/>
  <c r="F314" i="4"/>
  <c r="D314" i="4"/>
  <c r="C314" i="4"/>
  <c r="B314" i="4"/>
  <c r="A314" i="4"/>
  <c r="D313" i="4"/>
  <c r="C313" i="4"/>
  <c r="B313" i="4"/>
  <c r="A313" i="4"/>
  <c r="H312" i="4"/>
  <c r="G312" i="4"/>
  <c r="F312" i="4"/>
  <c r="E312" i="4"/>
  <c r="D312" i="4"/>
  <c r="C312" i="4"/>
  <c r="B312" i="4"/>
  <c r="A312" i="4"/>
  <c r="H311" i="4"/>
  <c r="G311" i="4"/>
  <c r="F311" i="4"/>
  <c r="E311" i="4"/>
  <c r="D311" i="4"/>
  <c r="C311" i="4"/>
  <c r="B311" i="4"/>
  <c r="A311" i="4"/>
  <c r="D310" i="4"/>
  <c r="C310" i="4"/>
  <c r="B310" i="4"/>
  <c r="A310" i="4"/>
  <c r="E310" i="4" s="1"/>
  <c r="D309" i="4"/>
  <c r="C309" i="4"/>
  <c r="B309" i="4"/>
  <c r="A309" i="4"/>
  <c r="G308" i="4"/>
  <c r="D308" i="4"/>
  <c r="C308" i="4"/>
  <c r="B308" i="4"/>
  <c r="A308" i="4"/>
  <c r="F308" i="4" s="1"/>
  <c r="H307" i="4"/>
  <c r="G307" i="4"/>
  <c r="F307" i="4"/>
  <c r="E307" i="4"/>
  <c r="D307" i="4"/>
  <c r="C307" i="4"/>
  <c r="B307" i="4"/>
  <c r="A307" i="4"/>
  <c r="H306" i="4"/>
  <c r="G306" i="4"/>
  <c r="F306" i="4"/>
  <c r="E306" i="4"/>
  <c r="D306" i="4"/>
  <c r="C306" i="4"/>
  <c r="B306" i="4"/>
  <c r="A306" i="4"/>
  <c r="D305" i="4"/>
  <c r="C305" i="4"/>
  <c r="B305" i="4"/>
  <c r="A305" i="4"/>
  <c r="D304" i="4"/>
  <c r="C304" i="4"/>
  <c r="B304" i="4"/>
  <c r="A304" i="4"/>
  <c r="H303" i="4"/>
  <c r="G303" i="4"/>
  <c r="F303" i="4"/>
  <c r="E303" i="4"/>
  <c r="D303" i="4"/>
  <c r="C303" i="4"/>
  <c r="B303" i="4"/>
  <c r="A303" i="4"/>
  <c r="H302" i="4"/>
  <c r="G302" i="4"/>
  <c r="F302" i="4"/>
  <c r="E302" i="4"/>
  <c r="D302" i="4"/>
  <c r="C302" i="4"/>
  <c r="B302" i="4"/>
  <c r="A302" i="4"/>
  <c r="D301" i="4"/>
  <c r="C301" i="4"/>
  <c r="B301" i="4"/>
  <c r="A301" i="4"/>
  <c r="H300" i="4"/>
  <c r="D300" i="4"/>
  <c r="C300" i="4"/>
  <c r="B300" i="4"/>
  <c r="A300" i="4"/>
  <c r="H299" i="4"/>
  <c r="G299" i="4"/>
  <c r="F299" i="4"/>
  <c r="D299" i="4"/>
  <c r="C299" i="4"/>
  <c r="B299" i="4"/>
  <c r="A299" i="4"/>
  <c r="E299" i="4" s="1"/>
  <c r="H298" i="4"/>
  <c r="G298" i="4"/>
  <c r="F298" i="4"/>
  <c r="E298" i="4"/>
  <c r="D298" i="4"/>
  <c r="C298" i="4"/>
  <c r="B298" i="4"/>
  <c r="A298" i="4"/>
  <c r="H297" i="4"/>
  <c r="G297" i="4"/>
  <c r="F297" i="4"/>
  <c r="E297" i="4"/>
  <c r="D297" i="4"/>
  <c r="C297" i="4"/>
  <c r="B297" i="4"/>
  <c r="A297" i="4"/>
  <c r="H296" i="4"/>
  <c r="D296" i="4"/>
  <c r="C296" i="4"/>
  <c r="B296" i="4"/>
  <c r="A296" i="4"/>
  <c r="H295" i="4"/>
  <c r="F295" i="4"/>
  <c r="E295" i="4"/>
  <c r="D295" i="4"/>
  <c r="C295" i="4"/>
  <c r="B295" i="4"/>
  <c r="A295" i="4"/>
  <c r="G295" i="4" s="1"/>
  <c r="H294" i="4"/>
  <c r="G294" i="4"/>
  <c r="F294" i="4"/>
  <c r="D294" i="4"/>
  <c r="C294" i="4"/>
  <c r="B294" i="4"/>
  <c r="A294" i="4"/>
  <c r="E294" i="4" s="1"/>
  <c r="E293" i="4"/>
  <c r="D293" i="4"/>
  <c r="C293" i="4"/>
  <c r="B293" i="4"/>
  <c r="A293" i="4"/>
  <c r="H292" i="4"/>
  <c r="D292" i="4"/>
  <c r="C292" i="4"/>
  <c r="B292" i="4"/>
  <c r="A292" i="4"/>
  <c r="H291" i="4"/>
  <c r="G291" i="4"/>
  <c r="F291" i="4"/>
  <c r="D291" i="4"/>
  <c r="C291" i="4"/>
  <c r="B291" i="4"/>
  <c r="A291" i="4"/>
  <c r="E291" i="4" s="1"/>
  <c r="H290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H289" i="4" s="1"/>
  <c r="E288" i="4"/>
  <c r="D288" i="4"/>
  <c r="C288" i="4"/>
  <c r="B288" i="4"/>
  <c r="A288" i="4"/>
  <c r="D287" i="4"/>
  <c r="C287" i="4"/>
  <c r="B287" i="4"/>
  <c r="A287" i="4"/>
  <c r="H286" i="4"/>
  <c r="G286" i="4"/>
  <c r="F286" i="4"/>
  <c r="D286" i="4"/>
  <c r="C286" i="4"/>
  <c r="B286" i="4"/>
  <c r="A286" i="4"/>
  <c r="E286" i="4" s="1"/>
  <c r="H285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H284" i="4" s="1"/>
  <c r="E283" i="4"/>
  <c r="D283" i="4"/>
  <c r="C283" i="4"/>
  <c r="B283" i="4"/>
  <c r="A283" i="4"/>
  <c r="D282" i="4"/>
  <c r="C282" i="4"/>
  <c r="B282" i="4"/>
  <c r="A282" i="4"/>
  <c r="H281" i="4"/>
  <c r="G281" i="4"/>
  <c r="D281" i="4"/>
  <c r="C281" i="4"/>
  <c r="B281" i="4"/>
  <c r="A281" i="4"/>
  <c r="H280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H279" i="4" s="1"/>
  <c r="D278" i="4"/>
  <c r="C278" i="4"/>
  <c r="B278" i="4"/>
  <c r="A278" i="4"/>
  <c r="D277" i="4"/>
  <c r="C277" i="4"/>
  <c r="B277" i="4"/>
  <c r="A277" i="4"/>
  <c r="D276" i="4"/>
  <c r="C276" i="4"/>
  <c r="B276" i="4"/>
  <c r="A276" i="4"/>
  <c r="H275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H274" i="4" s="1"/>
  <c r="D273" i="4"/>
  <c r="C273" i="4"/>
  <c r="B273" i="4"/>
  <c r="A273" i="4"/>
  <c r="H272" i="4"/>
  <c r="D272" i="4"/>
  <c r="C272" i="4"/>
  <c r="B272" i="4"/>
  <c r="A272" i="4"/>
  <c r="F271" i="4"/>
  <c r="D271" i="4"/>
  <c r="C271" i="4"/>
  <c r="B271" i="4"/>
  <c r="A271" i="4"/>
  <c r="H270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H269" i="4" s="1"/>
  <c r="E268" i="4"/>
  <c r="D268" i="4"/>
  <c r="C268" i="4"/>
  <c r="B268" i="4"/>
  <c r="A268" i="4"/>
  <c r="H267" i="4"/>
  <c r="D267" i="4"/>
  <c r="C267" i="4"/>
  <c r="B267" i="4"/>
  <c r="A267" i="4"/>
  <c r="H266" i="4"/>
  <c r="G266" i="4"/>
  <c r="F266" i="4"/>
  <c r="D266" i="4"/>
  <c r="C266" i="4"/>
  <c r="B266" i="4"/>
  <c r="A266" i="4"/>
  <c r="E266" i="4" s="1"/>
  <c r="H265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H264" i="4" s="1"/>
  <c r="E263" i="4"/>
  <c r="D263" i="4"/>
  <c r="C263" i="4"/>
  <c r="B263" i="4"/>
  <c r="A263" i="4"/>
  <c r="D262" i="4"/>
  <c r="C262" i="4"/>
  <c r="B262" i="4"/>
  <c r="A262" i="4"/>
  <c r="H261" i="4"/>
  <c r="G261" i="4"/>
  <c r="F261" i="4"/>
  <c r="D261" i="4"/>
  <c r="C261" i="4"/>
  <c r="B261" i="4"/>
  <c r="A261" i="4"/>
  <c r="E261" i="4" s="1"/>
  <c r="H260" i="4"/>
  <c r="G260" i="4"/>
  <c r="F260" i="4"/>
  <c r="E260" i="4"/>
  <c r="D260" i="4"/>
  <c r="C260" i="4"/>
  <c r="B260" i="4"/>
  <c r="A260" i="4"/>
  <c r="H259" i="4"/>
  <c r="G259" i="4"/>
  <c r="F259" i="4"/>
  <c r="E259" i="4"/>
  <c r="D259" i="4"/>
  <c r="C259" i="4"/>
  <c r="B259" i="4"/>
  <c r="A259" i="4"/>
  <c r="E258" i="4"/>
  <c r="D258" i="4"/>
  <c r="C258" i="4"/>
  <c r="B258" i="4"/>
  <c r="A258" i="4"/>
  <c r="H257" i="4"/>
  <c r="D257" i="4"/>
  <c r="C257" i="4"/>
  <c r="B257" i="4"/>
  <c r="A257" i="4"/>
  <c r="D256" i="4"/>
  <c r="C256" i="4"/>
  <c r="B256" i="4"/>
  <c r="A256" i="4"/>
  <c r="H256" i="4" s="1"/>
  <c r="H255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H254" i="4" s="1"/>
  <c r="D253" i="4"/>
  <c r="C253" i="4"/>
  <c r="B253" i="4"/>
  <c r="A253" i="4"/>
  <c r="H252" i="4"/>
  <c r="D252" i="4"/>
  <c r="C252" i="4"/>
  <c r="B252" i="4"/>
  <c r="A252" i="4"/>
  <c r="D251" i="4"/>
  <c r="C251" i="4"/>
  <c r="B251" i="4"/>
  <c r="A251" i="4"/>
  <c r="H250" i="4"/>
  <c r="G250" i="4"/>
  <c r="F250" i="4"/>
  <c r="E250" i="4"/>
  <c r="D250" i="4"/>
  <c r="C250" i="4"/>
  <c r="B250" i="4"/>
  <c r="A250" i="4"/>
  <c r="H249" i="4"/>
  <c r="G249" i="4"/>
  <c r="F249" i="4"/>
  <c r="E249" i="4"/>
  <c r="D249" i="4"/>
  <c r="C249" i="4"/>
  <c r="B249" i="4"/>
  <c r="A249" i="4"/>
  <c r="E248" i="4"/>
  <c r="D248" i="4"/>
  <c r="C248" i="4"/>
  <c r="B248" i="4"/>
  <c r="A248" i="4"/>
  <c r="H247" i="4"/>
  <c r="D247" i="4"/>
  <c r="C247" i="4"/>
  <c r="B247" i="4"/>
  <c r="A247" i="4"/>
  <c r="H246" i="4"/>
  <c r="G246" i="4"/>
  <c r="F246" i="4"/>
  <c r="D246" i="4"/>
  <c r="C246" i="4"/>
  <c r="B246" i="4"/>
  <c r="A246" i="4"/>
  <c r="E246" i="4" s="1"/>
  <c r="H245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H244" i="4" s="1"/>
  <c r="E243" i="4"/>
  <c r="D243" i="4"/>
  <c r="C243" i="4"/>
  <c r="B243" i="4"/>
  <c r="A243" i="4"/>
  <c r="D242" i="4"/>
  <c r="C242" i="4"/>
  <c r="B242" i="4"/>
  <c r="A242" i="4"/>
  <c r="H241" i="4"/>
  <c r="G241" i="4"/>
  <c r="F241" i="4"/>
  <c r="D241" i="4"/>
  <c r="C241" i="4"/>
  <c r="B241" i="4"/>
  <c r="A241" i="4"/>
  <c r="E241" i="4" s="1"/>
  <c r="H240" i="4"/>
  <c r="G240" i="4"/>
  <c r="F240" i="4"/>
  <c r="E240" i="4"/>
  <c r="D240" i="4"/>
  <c r="C240" i="4"/>
  <c r="B240" i="4"/>
  <c r="A240" i="4"/>
  <c r="H239" i="4"/>
  <c r="G239" i="4"/>
  <c r="F239" i="4"/>
  <c r="E239" i="4"/>
  <c r="D239" i="4"/>
  <c r="C239" i="4"/>
  <c r="B239" i="4"/>
  <c r="A239" i="4"/>
  <c r="E238" i="4"/>
  <c r="D238" i="4"/>
  <c r="C238" i="4"/>
  <c r="B238" i="4"/>
  <c r="A238" i="4"/>
  <c r="H237" i="4"/>
  <c r="D237" i="4"/>
  <c r="C237" i="4"/>
  <c r="B237" i="4"/>
  <c r="A237" i="4"/>
  <c r="D236" i="4"/>
  <c r="C236" i="4"/>
  <c r="B236" i="4"/>
  <c r="A236" i="4"/>
  <c r="H235" i="4"/>
  <c r="G235" i="4"/>
  <c r="F235" i="4"/>
  <c r="E235" i="4"/>
  <c r="D235" i="4"/>
  <c r="C235" i="4"/>
  <c r="B235" i="4"/>
  <c r="A235" i="4"/>
  <c r="H234" i="4"/>
  <c r="G234" i="4"/>
  <c r="F234" i="4"/>
  <c r="E234" i="4"/>
  <c r="D234" i="4"/>
  <c r="C234" i="4"/>
  <c r="B234" i="4"/>
  <c r="A234" i="4"/>
  <c r="D233" i="4"/>
  <c r="C233" i="4"/>
  <c r="B233" i="4"/>
  <c r="A233" i="4"/>
  <c r="H232" i="4"/>
  <c r="D232" i="4"/>
  <c r="C232" i="4"/>
  <c r="B232" i="4"/>
  <c r="A232" i="4"/>
  <c r="D231" i="4"/>
  <c r="C231" i="4"/>
  <c r="B231" i="4"/>
  <c r="A231" i="4"/>
  <c r="H230" i="4"/>
  <c r="G230" i="4"/>
  <c r="F230" i="4"/>
  <c r="E230" i="4"/>
  <c r="D230" i="4"/>
  <c r="C230" i="4"/>
  <c r="B230" i="4"/>
  <c r="A230" i="4"/>
  <c r="H229" i="4"/>
  <c r="G229" i="4"/>
  <c r="F229" i="4"/>
  <c r="E229" i="4"/>
  <c r="D229" i="4"/>
  <c r="C229" i="4"/>
  <c r="B229" i="4"/>
  <c r="A229" i="4"/>
  <c r="F228" i="4"/>
  <c r="E228" i="4"/>
  <c r="D228" i="4"/>
  <c r="C228" i="4"/>
  <c r="B228" i="4"/>
  <c r="A228" i="4"/>
  <c r="D227" i="4"/>
  <c r="C227" i="4"/>
  <c r="B227" i="4"/>
  <c r="A227" i="4"/>
  <c r="H226" i="4"/>
  <c r="G226" i="4"/>
  <c r="F226" i="4"/>
  <c r="D226" i="4"/>
  <c r="C226" i="4"/>
  <c r="B226" i="4"/>
  <c r="A226" i="4"/>
  <c r="E226" i="4" s="1"/>
  <c r="G225" i="4"/>
  <c r="F225" i="4"/>
  <c r="E225" i="4"/>
  <c r="D225" i="4"/>
  <c r="C225" i="4"/>
  <c r="B225" i="4"/>
  <c r="A225" i="4"/>
  <c r="H225" i="4" s="1"/>
  <c r="E224" i="4"/>
  <c r="D224" i="4"/>
  <c r="C224" i="4"/>
  <c r="B224" i="4"/>
  <c r="A224" i="4"/>
  <c r="D223" i="4"/>
  <c r="C223" i="4"/>
  <c r="B223" i="4"/>
  <c r="A223" i="4"/>
  <c r="H222" i="4"/>
  <c r="G222" i="4"/>
  <c r="D222" i="4"/>
  <c r="C222" i="4"/>
  <c r="B222" i="4"/>
  <c r="A222" i="4"/>
  <c r="E222" i="4" s="1"/>
  <c r="H221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H220" i="4" s="1"/>
  <c r="D219" i="4"/>
  <c r="C219" i="4"/>
  <c r="B219" i="4"/>
  <c r="A219" i="4"/>
  <c r="E219" i="4" s="1"/>
  <c r="H218" i="4"/>
  <c r="D218" i="4"/>
  <c r="C218" i="4"/>
  <c r="B218" i="4"/>
  <c r="A218" i="4"/>
  <c r="D217" i="4"/>
  <c r="C217" i="4"/>
  <c r="B217" i="4"/>
  <c r="A217" i="4"/>
  <c r="E217" i="4" s="1"/>
  <c r="H216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H215" i="4" s="1"/>
  <c r="D214" i="4"/>
  <c r="C214" i="4"/>
  <c r="B214" i="4"/>
  <c r="A214" i="4"/>
  <c r="H213" i="4"/>
  <c r="D213" i="4"/>
  <c r="C213" i="4"/>
  <c r="B213" i="4"/>
  <c r="A213" i="4"/>
  <c r="D212" i="4"/>
  <c r="C212" i="4"/>
  <c r="B212" i="4"/>
  <c r="A212" i="4"/>
  <c r="E212" i="4" s="1"/>
  <c r="H211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H210" i="4" s="1"/>
  <c r="D209" i="4"/>
  <c r="C209" i="4"/>
  <c r="B209" i="4"/>
  <c r="A209" i="4"/>
  <c r="H208" i="4"/>
  <c r="D208" i="4"/>
  <c r="C208" i="4"/>
  <c r="B208" i="4"/>
  <c r="A208" i="4"/>
  <c r="H207" i="4"/>
  <c r="G207" i="4"/>
  <c r="F207" i="4"/>
  <c r="D207" i="4"/>
  <c r="C207" i="4"/>
  <c r="B207" i="4"/>
  <c r="A207" i="4"/>
  <c r="E207" i="4" s="1"/>
  <c r="H206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H205" i="4" s="1"/>
  <c r="E204" i="4"/>
  <c r="D204" i="4"/>
  <c r="C204" i="4"/>
  <c r="B204" i="4"/>
  <c r="A204" i="4"/>
  <c r="D203" i="4"/>
  <c r="C203" i="4"/>
  <c r="B203" i="4"/>
  <c r="A203" i="4"/>
  <c r="H202" i="4"/>
  <c r="G202" i="4"/>
  <c r="F202" i="4"/>
  <c r="D202" i="4"/>
  <c r="C202" i="4"/>
  <c r="B202" i="4"/>
  <c r="A202" i="4"/>
  <c r="E202" i="4" s="1"/>
  <c r="H201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H200" i="4" s="1"/>
  <c r="E199" i="4"/>
  <c r="D199" i="4"/>
  <c r="C199" i="4"/>
  <c r="B199" i="4"/>
  <c r="A199" i="4"/>
  <c r="D198" i="4"/>
  <c r="C198" i="4"/>
  <c r="B198" i="4"/>
  <c r="A198" i="4"/>
  <c r="H197" i="4"/>
  <c r="G197" i="4"/>
  <c r="D197" i="4"/>
  <c r="C197" i="4"/>
  <c r="B197" i="4"/>
  <c r="A197" i="4"/>
  <c r="E197" i="4" s="1"/>
  <c r="H196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H195" i="4" s="1"/>
  <c r="D194" i="4"/>
  <c r="C194" i="4"/>
  <c r="B194" i="4"/>
  <c r="A194" i="4"/>
  <c r="E194" i="4" s="1"/>
  <c r="H193" i="4"/>
  <c r="D193" i="4"/>
  <c r="C193" i="4"/>
  <c r="B193" i="4"/>
  <c r="A193" i="4"/>
  <c r="D192" i="4"/>
  <c r="C192" i="4"/>
  <c r="B192" i="4"/>
  <c r="A192" i="4"/>
  <c r="E192" i="4" s="1"/>
  <c r="H191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H190" i="4" s="1"/>
  <c r="D189" i="4"/>
  <c r="C189" i="4"/>
  <c r="B189" i="4"/>
  <c r="A189" i="4"/>
  <c r="H188" i="4"/>
  <c r="D188" i="4"/>
  <c r="C188" i="4"/>
  <c r="B188" i="4"/>
  <c r="A188" i="4"/>
  <c r="D187" i="4"/>
  <c r="C187" i="4"/>
  <c r="B187" i="4"/>
  <c r="A187" i="4"/>
  <c r="E187" i="4" s="1"/>
  <c r="H186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H185" i="4" s="1"/>
  <c r="D184" i="4"/>
  <c r="C184" i="4"/>
  <c r="B184" i="4"/>
  <c r="A184" i="4"/>
  <c r="H183" i="4"/>
  <c r="D183" i="4"/>
  <c r="C183" i="4"/>
  <c r="B183" i="4"/>
  <c r="A183" i="4"/>
  <c r="H182" i="4"/>
  <c r="G182" i="4"/>
  <c r="F182" i="4"/>
  <c r="D182" i="4"/>
  <c r="C182" i="4"/>
  <c r="B182" i="4"/>
  <c r="A182" i="4"/>
  <c r="E182" i="4" s="1"/>
  <c r="H181" i="4"/>
  <c r="G181" i="4"/>
  <c r="F181" i="4"/>
  <c r="E181" i="4"/>
  <c r="D181" i="4"/>
  <c r="C181" i="4"/>
  <c r="B181" i="4"/>
  <c r="A181" i="4"/>
  <c r="H180" i="4"/>
  <c r="G180" i="4"/>
  <c r="F180" i="4"/>
  <c r="E180" i="4"/>
  <c r="D180" i="4"/>
  <c r="C180" i="4"/>
  <c r="B180" i="4"/>
  <c r="A180" i="4"/>
  <c r="E179" i="4"/>
  <c r="D179" i="4"/>
  <c r="C179" i="4"/>
  <c r="B179" i="4"/>
  <c r="A179" i="4"/>
  <c r="D178" i="4"/>
  <c r="C178" i="4"/>
  <c r="B178" i="4"/>
  <c r="A178" i="4"/>
  <c r="H177" i="4"/>
  <c r="G177" i="4"/>
  <c r="F177" i="4"/>
  <c r="D177" i="4"/>
  <c r="C177" i="4"/>
  <c r="B177" i="4"/>
  <c r="A177" i="4"/>
  <c r="E177" i="4" s="1"/>
  <c r="H176" i="4"/>
  <c r="G176" i="4"/>
  <c r="F176" i="4"/>
  <c r="E176" i="4"/>
  <c r="D176" i="4"/>
  <c r="C176" i="4"/>
  <c r="B176" i="4"/>
  <c r="A176" i="4"/>
  <c r="H175" i="4"/>
  <c r="G175" i="4"/>
  <c r="F175" i="4"/>
  <c r="E175" i="4"/>
  <c r="D175" i="4"/>
  <c r="C175" i="4"/>
  <c r="B175" i="4"/>
  <c r="A175" i="4"/>
  <c r="D174" i="4"/>
  <c r="C174" i="4"/>
  <c r="B174" i="4"/>
  <c r="A174" i="4"/>
  <c r="E174" i="4" s="1"/>
  <c r="H173" i="4"/>
  <c r="D173" i="4"/>
  <c r="C173" i="4"/>
  <c r="B173" i="4"/>
  <c r="A173" i="4"/>
  <c r="D172" i="4"/>
  <c r="C172" i="4"/>
  <c r="B172" i="4"/>
  <c r="A172" i="4"/>
  <c r="E172" i="4" s="1"/>
  <c r="H171" i="4"/>
  <c r="G171" i="4"/>
  <c r="F171" i="4"/>
  <c r="E171" i="4"/>
  <c r="D171" i="4"/>
  <c r="C171" i="4"/>
  <c r="B171" i="4"/>
  <c r="A171" i="4"/>
  <c r="H170" i="4"/>
  <c r="G170" i="4"/>
  <c r="F170" i="4"/>
  <c r="E170" i="4"/>
  <c r="D170" i="4"/>
  <c r="C170" i="4"/>
  <c r="B170" i="4"/>
  <c r="A170" i="4"/>
  <c r="D169" i="4"/>
  <c r="C169" i="4"/>
  <c r="B169" i="4"/>
  <c r="A169" i="4"/>
  <c r="H168" i="4"/>
  <c r="D168" i="4"/>
  <c r="C168" i="4"/>
  <c r="B168" i="4"/>
  <c r="A168" i="4"/>
  <c r="F167" i="4"/>
  <c r="D167" i="4"/>
  <c r="C167" i="4"/>
  <c r="B167" i="4"/>
  <c r="A167" i="4"/>
  <c r="E167" i="4" s="1"/>
  <c r="H166" i="4"/>
  <c r="G166" i="4"/>
  <c r="F166" i="4"/>
  <c r="E166" i="4"/>
  <c r="D166" i="4"/>
  <c r="C166" i="4"/>
  <c r="B166" i="4"/>
  <c r="A166" i="4"/>
  <c r="H165" i="4"/>
  <c r="G165" i="4"/>
  <c r="F165" i="4"/>
  <c r="E165" i="4"/>
  <c r="D165" i="4"/>
  <c r="C165" i="4"/>
  <c r="B165" i="4"/>
  <c r="A165" i="4"/>
  <c r="E164" i="4"/>
  <c r="D164" i="4"/>
  <c r="C164" i="4"/>
  <c r="B164" i="4"/>
  <c r="A164" i="4"/>
  <c r="D163" i="4"/>
  <c r="C163" i="4"/>
  <c r="B163" i="4"/>
  <c r="A163" i="4"/>
  <c r="H162" i="4"/>
  <c r="G162" i="4"/>
  <c r="F162" i="4"/>
  <c r="D162" i="4"/>
  <c r="C162" i="4"/>
  <c r="B162" i="4"/>
  <c r="A162" i="4"/>
  <c r="E162" i="4" s="1"/>
  <c r="H161" i="4"/>
  <c r="G161" i="4"/>
  <c r="F161" i="4"/>
  <c r="E161" i="4"/>
  <c r="D161" i="4"/>
  <c r="C161" i="4"/>
  <c r="B161" i="4"/>
  <c r="A161" i="4"/>
  <c r="H160" i="4"/>
  <c r="G160" i="4"/>
  <c r="F160" i="4"/>
  <c r="E160" i="4"/>
  <c r="D160" i="4"/>
  <c r="C160" i="4"/>
  <c r="B160" i="4"/>
  <c r="A160" i="4"/>
  <c r="E159" i="4"/>
  <c r="D159" i="4"/>
  <c r="C159" i="4"/>
  <c r="B159" i="4"/>
  <c r="A159" i="4"/>
  <c r="D158" i="4"/>
  <c r="C158" i="4"/>
  <c r="B158" i="4"/>
  <c r="A158" i="4"/>
  <c r="D157" i="4"/>
  <c r="C157" i="4"/>
  <c r="B157" i="4"/>
  <c r="A157" i="4"/>
  <c r="E157" i="4" s="1"/>
  <c r="H156" i="4"/>
  <c r="G156" i="4"/>
  <c r="F156" i="4"/>
  <c r="E156" i="4"/>
  <c r="D156" i="4"/>
  <c r="C156" i="4"/>
  <c r="B156" i="4"/>
  <c r="A156" i="4"/>
  <c r="H155" i="4"/>
  <c r="G155" i="4"/>
  <c r="F155" i="4"/>
  <c r="E155" i="4"/>
  <c r="D155" i="4"/>
  <c r="C155" i="4"/>
  <c r="B155" i="4"/>
  <c r="A155" i="4"/>
  <c r="D154" i="4"/>
  <c r="C154" i="4"/>
  <c r="B154" i="4"/>
  <c r="A154" i="4"/>
  <c r="H153" i="4"/>
  <c r="D153" i="4"/>
  <c r="C153" i="4"/>
  <c r="B153" i="4"/>
  <c r="A153" i="4"/>
  <c r="D152" i="4"/>
  <c r="C152" i="4"/>
  <c r="B152" i="4"/>
  <c r="A152" i="4"/>
  <c r="E152" i="4" s="1"/>
  <c r="H151" i="4"/>
  <c r="G151" i="4"/>
  <c r="F151" i="4"/>
  <c r="E151" i="4"/>
  <c r="D151" i="4"/>
  <c r="C151" i="4"/>
  <c r="B151" i="4"/>
  <c r="A151" i="4"/>
  <c r="H150" i="4"/>
  <c r="G150" i="4"/>
  <c r="F150" i="4"/>
  <c r="E150" i="4"/>
  <c r="D150" i="4"/>
  <c r="C150" i="4"/>
  <c r="B150" i="4"/>
  <c r="A150" i="4"/>
  <c r="E149" i="4"/>
  <c r="D149" i="4"/>
  <c r="C149" i="4"/>
  <c r="B149" i="4"/>
  <c r="A149" i="4"/>
  <c r="D148" i="4"/>
  <c r="C148" i="4"/>
  <c r="B148" i="4"/>
  <c r="A148" i="4"/>
  <c r="H148" i="4" s="1"/>
  <c r="H147" i="4"/>
  <c r="G147" i="4"/>
  <c r="F147" i="4"/>
  <c r="D147" i="4"/>
  <c r="C147" i="4"/>
  <c r="B147" i="4"/>
  <c r="A147" i="4"/>
  <c r="E147" i="4" s="1"/>
  <c r="H146" i="4"/>
  <c r="G146" i="4"/>
  <c r="F146" i="4"/>
  <c r="E146" i="4"/>
  <c r="D146" i="4"/>
  <c r="C146" i="4"/>
  <c r="B146" i="4"/>
  <c r="A146" i="4"/>
  <c r="H145" i="4"/>
  <c r="G145" i="4"/>
  <c r="F145" i="4"/>
  <c r="E145" i="4"/>
  <c r="D145" i="4"/>
  <c r="C145" i="4"/>
  <c r="B145" i="4"/>
  <c r="A145" i="4"/>
  <c r="E144" i="4"/>
  <c r="D144" i="4"/>
  <c r="C144" i="4"/>
  <c r="B144" i="4"/>
  <c r="A144" i="4"/>
  <c r="D143" i="4"/>
  <c r="C143" i="4"/>
  <c r="B143" i="4"/>
  <c r="A143" i="4"/>
  <c r="H142" i="4"/>
  <c r="G142" i="4"/>
  <c r="D142" i="4"/>
  <c r="C142" i="4"/>
  <c r="B142" i="4"/>
  <c r="A142" i="4"/>
  <c r="E142" i="4" s="1"/>
  <c r="H141" i="4"/>
  <c r="G141" i="4"/>
  <c r="F141" i="4"/>
  <c r="E141" i="4"/>
  <c r="D141" i="4"/>
  <c r="C141" i="4"/>
  <c r="B141" i="4"/>
  <c r="A141" i="4"/>
  <c r="H140" i="4"/>
  <c r="G140" i="4"/>
  <c r="F140" i="4"/>
  <c r="E140" i="4"/>
  <c r="D140" i="4"/>
  <c r="C140" i="4"/>
  <c r="B140" i="4"/>
  <c r="A140" i="4"/>
  <c r="D139" i="4"/>
  <c r="C139" i="4"/>
  <c r="B139" i="4"/>
  <c r="A139" i="4"/>
  <c r="H138" i="4"/>
  <c r="D138" i="4"/>
  <c r="C138" i="4"/>
  <c r="B138" i="4"/>
  <c r="A138" i="4"/>
  <c r="D137" i="4"/>
  <c r="C137" i="4"/>
  <c r="B137" i="4"/>
  <c r="A137" i="4"/>
  <c r="E137" i="4" s="1"/>
  <c r="H136" i="4"/>
  <c r="G136" i="4"/>
  <c r="F136" i="4"/>
  <c r="E136" i="4"/>
  <c r="D136" i="4"/>
  <c r="C136" i="4"/>
  <c r="B136" i="4"/>
  <c r="A136" i="4"/>
  <c r="H135" i="4"/>
  <c r="G135" i="4"/>
  <c r="F135" i="4"/>
  <c r="E135" i="4"/>
  <c r="D135" i="4"/>
  <c r="C135" i="4"/>
  <c r="B135" i="4"/>
  <c r="A135" i="4"/>
  <c r="D134" i="4"/>
  <c r="C134" i="4"/>
  <c r="B134" i="4"/>
  <c r="A134" i="4"/>
  <c r="H133" i="4"/>
  <c r="D133" i="4"/>
  <c r="C133" i="4"/>
  <c r="B133" i="4"/>
  <c r="A133" i="4"/>
  <c r="H132" i="4"/>
  <c r="G132" i="4"/>
  <c r="F132" i="4"/>
  <c r="D132" i="4"/>
  <c r="C132" i="4"/>
  <c r="B132" i="4"/>
  <c r="A132" i="4"/>
  <c r="E132" i="4" s="1"/>
  <c r="H131" i="4"/>
  <c r="G131" i="4"/>
  <c r="F131" i="4"/>
  <c r="E131" i="4"/>
  <c r="D131" i="4"/>
  <c r="C131" i="4"/>
  <c r="B131" i="4"/>
  <c r="A131" i="4"/>
  <c r="H130" i="4"/>
  <c r="G130" i="4"/>
  <c r="F130" i="4"/>
  <c r="E130" i="4"/>
  <c r="D130" i="4"/>
  <c r="C130" i="4"/>
  <c r="B130" i="4"/>
  <c r="A130" i="4"/>
  <c r="E129" i="4"/>
  <c r="D129" i="4"/>
  <c r="C129" i="4"/>
  <c r="B129" i="4"/>
  <c r="A129" i="4"/>
  <c r="D128" i="4"/>
  <c r="C128" i="4"/>
  <c r="B128" i="4"/>
  <c r="A128" i="4"/>
  <c r="H127" i="4"/>
  <c r="G127" i="4"/>
  <c r="F127" i="4"/>
  <c r="D127" i="4"/>
  <c r="C127" i="4"/>
  <c r="B127" i="4"/>
  <c r="A127" i="4"/>
  <c r="E127" i="4" s="1"/>
  <c r="H126" i="4"/>
  <c r="G126" i="4"/>
  <c r="F126" i="4"/>
  <c r="E126" i="4"/>
  <c r="D126" i="4"/>
  <c r="C126" i="4"/>
  <c r="B126" i="4"/>
  <c r="A126" i="4"/>
  <c r="H125" i="4"/>
  <c r="G125" i="4"/>
  <c r="F125" i="4"/>
  <c r="E125" i="4"/>
  <c r="D125" i="4"/>
  <c r="C125" i="4"/>
  <c r="B125" i="4"/>
  <c r="A125" i="4"/>
  <c r="D124" i="4"/>
  <c r="C124" i="4"/>
  <c r="B124" i="4"/>
  <c r="A124" i="4"/>
  <c r="E124" i="4" s="1"/>
  <c r="H123" i="4"/>
  <c r="D123" i="4"/>
  <c r="C123" i="4"/>
  <c r="B123" i="4"/>
  <c r="A123" i="4"/>
  <c r="D122" i="4"/>
  <c r="C122" i="4"/>
  <c r="B122" i="4"/>
  <c r="A122" i="4"/>
  <c r="E122" i="4" s="1"/>
  <c r="H121" i="4"/>
  <c r="G121" i="4"/>
  <c r="F121" i="4"/>
  <c r="E121" i="4"/>
  <c r="D121" i="4"/>
  <c r="C121" i="4"/>
  <c r="B121" i="4"/>
  <c r="A121" i="4"/>
  <c r="H120" i="4"/>
  <c r="G120" i="4"/>
  <c r="F120" i="4"/>
  <c r="E120" i="4"/>
  <c r="D120" i="4"/>
  <c r="C120" i="4"/>
  <c r="B120" i="4"/>
  <c r="A120" i="4"/>
  <c r="D119" i="4"/>
  <c r="C119" i="4"/>
  <c r="B119" i="4"/>
  <c r="A119" i="4"/>
  <c r="H118" i="4"/>
  <c r="D118" i="4"/>
  <c r="C118" i="4"/>
  <c r="B118" i="4"/>
  <c r="A118" i="4"/>
  <c r="F117" i="4"/>
  <c r="D117" i="4"/>
  <c r="C117" i="4"/>
  <c r="B117" i="4"/>
  <c r="A117" i="4"/>
  <c r="E117" i="4" s="1"/>
  <c r="H116" i="4"/>
  <c r="G116" i="4"/>
  <c r="F116" i="4"/>
  <c r="E116" i="4"/>
  <c r="D116" i="4"/>
  <c r="C116" i="4"/>
  <c r="B116" i="4"/>
  <c r="A116" i="4"/>
  <c r="H115" i="4"/>
  <c r="G115" i="4"/>
  <c r="F115" i="4"/>
  <c r="E115" i="4"/>
  <c r="D115" i="4"/>
  <c r="C115" i="4"/>
  <c r="B115" i="4"/>
  <c r="A115" i="4"/>
  <c r="E114" i="4"/>
  <c r="D114" i="4"/>
  <c r="C114" i="4"/>
  <c r="B114" i="4"/>
  <c r="A114" i="4"/>
  <c r="D113" i="4"/>
  <c r="C113" i="4"/>
  <c r="B113" i="4"/>
  <c r="A113" i="4"/>
  <c r="H112" i="4"/>
  <c r="G112" i="4"/>
  <c r="F112" i="4"/>
  <c r="D112" i="4"/>
  <c r="C112" i="4"/>
  <c r="B112" i="4"/>
  <c r="A112" i="4"/>
  <c r="E112" i="4" s="1"/>
  <c r="H111" i="4"/>
  <c r="G111" i="4"/>
  <c r="F111" i="4"/>
  <c r="E111" i="4"/>
  <c r="D111" i="4"/>
  <c r="C111" i="4"/>
  <c r="B111" i="4"/>
  <c r="A111" i="4"/>
  <c r="H110" i="4"/>
  <c r="G110" i="4"/>
  <c r="F110" i="4"/>
  <c r="E110" i="4"/>
  <c r="D110" i="4"/>
  <c r="C110" i="4"/>
  <c r="B110" i="4"/>
  <c r="A110" i="4"/>
  <c r="E109" i="4"/>
  <c r="D109" i="4"/>
  <c r="C109" i="4"/>
  <c r="B109" i="4"/>
  <c r="A109" i="4"/>
  <c r="D108" i="4"/>
  <c r="C108" i="4"/>
  <c r="B108" i="4"/>
  <c r="A108" i="4"/>
  <c r="D107" i="4"/>
  <c r="C107" i="4"/>
  <c r="B107" i="4"/>
  <c r="A107" i="4"/>
  <c r="E107" i="4" s="1"/>
  <c r="H106" i="4"/>
  <c r="G106" i="4"/>
  <c r="F106" i="4"/>
  <c r="E106" i="4"/>
  <c r="D106" i="4"/>
  <c r="C106" i="4"/>
  <c r="B106" i="4"/>
  <c r="A106" i="4"/>
  <c r="H105" i="4"/>
  <c r="G105" i="4"/>
  <c r="F105" i="4"/>
  <c r="E105" i="4"/>
  <c r="D105" i="4"/>
  <c r="C105" i="4"/>
  <c r="B105" i="4"/>
  <c r="A105" i="4"/>
  <c r="D104" i="4"/>
  <c r="C104" i="4"/>
  <c r="B104" i="4"/>
  <c r="A104" i="4"/>
  <c r="H103" i="4"/>
  <c r="D103" i="4"/>
  <c r="C103" i="4"/>
  <c r="B103" i="4"/>
  <c r="A103" i="4"/>
  <c r="D102" i="4"/>
  <c r="C102" i="4"/>
  <c r="B102" i="4"/>
  <c r="A102" i="4"/>
  <c r="E102" i="4" s="1"/>
  <c r="H101" i="4"/>
  <c r="G101" i="4"/>
  <c r="F101" i="4"/>
  <c r="E101" i="4"/>
  <c r="D101" i="4"/>
  <c r="C101" i="4"/>
  <c r="B101" i="4"/>
  <c r="A101" i="4"/>
  <c r="H100" i="4"/>
  <c r="G100" i="4"/>
  <c r="F100" i="4"/>
  <c r="E100" i="4"/>
  <c r="D100" i="4"/>
  <c r="C100" i="4"/>
  <c r="B100" i="4"/>
  <c r="A100" i="4"/>
  <c r="E99" i="4"/>
  <c r="D99" i="4"/>
  <c r="C99" i="4"/>
  <c r="B99" i="4"/>
  <c r="A99" i="4"/>
  <c r="D98" i="4"/>
  <c r="C98" i="4"/>
  <c r="B98" i="4"/>
  <c r="A98" i="4"/>
  <c r="H98" i="4" s="1"/>
  <c r="H97" i="4"/>
  <c r="G97" i="4"/>
  <c r="F97" i="4"/>
  <c r="D97" i="4"/>
  <c r="C97" i="4"/>
  <c r="B97" i="4"/>
  <c r="A97" i="4"/>
  <c r="E97" i="4" s="1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C95" i="4"/>
  <c r="B95" i="4"/>
  <c r="A95" i="4"/>
  <c r="E94" i="4"/>
  <c r="D94" i="4"/>
  <c r="C94" i="4"/>
  <c r="B94" i="4"/>
  <c r="A94" i="4"/>
  <c r="D93" i="4"/>
  <c r="C93" i="4"/>
  <c r="B93" i="4"/>
  <c r="A93" i="4"/>
  <c r="H92" i="4"/>
  <c r="G92" i="4"/>
  <c r="D92" i="4"/>
  <c r="C92" i="4"/>
  <c r="B92" i="4"/>
  <c r="A92" i="4"/>
  <c r="E92" i="4" s="1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C90" i="4"/>
  <c r="B90" i="4"/>
  <c r="A90" i="4"/>
  <c r="D89" i="4"/>
  <c r="C89" i="4"/>
  <c r="B89" i="4"/>
  <c r="A89" i="4"/>
  <c r="H88" i="4"/>
  <c r="D88" i="4"/>
  <c r="C88" i="4"/>
  <c r="B88" i="4"/>
  <c r="A88" i="4"/>
  <c r="D87" i="4"/>
  <c r="C87" i="4"/>
  <c r="B87" i="4"/>
  <c r="A87" i="4"/>
  <c r="E87" i="4" s="1"/>
  <c r="H86" i="4"/>
  <c r="G86" i="4"/>
  <c r="F86" i="4"/>
  <c r="E86" i="4"/>
  <c r="D86" i="4"/>
  <c r="C86" i="4"/>
  <c r="B86" i="4"/>
  <c r="A86" i="4"/>
  <c r="H85" i="4"/>
  <c r="G85" i="4"/>
  <c r="F85" i="4"/>
  <c r="E85" i="4"/>
  <c r="D85" i="4"/>
  <c r="C85" i="4"/>
  <c r="B85" i="4"/>
  <c r="A85" i="4"/>
  <c r="D84" i="4"/>
  <c r="C84" i="4"/>
  <c r="B84" i="4"/>
  <c r="A84" i="4"/>
  <c r="H83" i="4"/>
  <c r="D83" i="4"/>
  <c r="C83" i="4"/>
  <c r="B83" i="4"/>
  <c r="A83" i="4"/>
  <c r="H82" i="4"/>
  <c r="G82" i="4"/>
  <c r="F82" i="4"/>
  <c r="D82" i="4"/>
  <c r="C82" i="4"/>
  <c r="B82" i="4"/>
  <c r="A82" i="4"/>
  <c r="E82" i="4" s="1"/>
  <c r="H81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H80" i="4" s="1"/>
  <c r="E79" i="4"/>
  <c r="D79" i="4"/>
  <c r="C79" i="4"/>
  <c r="B79" i="4"/>
  <c r="A79" i="4"/>
  <c r="D78" i="4"/>
  <c r="C78" i="4"/>
  <c r="B78" i="4"/>
  <c r="A78" i="4"/>
  <c r="H77" i="4"/>
  <c r="G77" i="4"/>
  <c r="F77" i="4"/>
  <c r="D77" i="4"/>
  <c r="C77" i="4"/>
  <c r="B77" i="4"/>
  <c r="A77" i="4"/>
  <c r="E77" i="4" s="1"/>
  <c r="H76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H75" i="4" s="1"/>
  <c r="E74" i="4"/>
  <c r="D74" i="4"/>
  <c r="C74" i="4"/>
  <c r="B74" i="4"/>
  <c r="A74" i="4"/>
  <c r="D73" i="4"/>
  <c r="C73" i="4"/>
  <c r="B73" i="4"/>
  <c r="A73" i="4"/>
  <c r="D72" i="4"/>
  <c r="C72" i="4"/>
  <c r="B72" i="4"/>
  <c r="A72" i="4"/>
  <c r="E72" i="4" s="1"/>
  <c r="D71" i="4"/>
  <c r="C71" i="4"/>
  <c r="B71" i="4"/>
  <c r="A71" i="4"/>
  <c r="F70" i="4"/>
  <c r="D70" i="4"/>
  <c r="C70" i="4"/>
  <c r="B70" i="4"/>
  <c r="A70" i="4"/>
  <c r="H70" i="4" s="1"/>
  <c r="D69" i="4"/>
  <c r="C69" i="4"/>
  <c r="B69" i="4"/>
  <c r="A69" i="4"/>
  <c r="E69" i="4" s="1"/>
  <c r="H68" i="4"/>
  <c r="D68" i="4"/>
  <c r="C68" i="4"/>
  <c r="B68" i="4"/>
  <c r="A68" i="4"/>
  <c r="D67" i="4"/>
  <c r="C67" i="4"/>
  <c r="B67" i="4"/>
  <c r="A67" i="4"/>
  <c r="E67" i="4" s="1"/>
  <c r="H66" i="4"/>
  <c r="F66" i="4"/>
  <c r="G66" i="4" s="1"/>
  <c r="D66" i="4"/>
  <c r="C66" i="4"/>
  <c r="B66" i="4"/>
  <c r="A66" i="4"/>
  <c r="E66" i="4" s="1"/>
  <c r="F65" i="4"/>
  <c r="G65" i="4" s="1"/>
  <c r="E65" i="4"/>
  <c r="D65" i="4"/>
  <c r="C65" i="4"/>
  <c r="B65" i="4"/>
  <c r="A65" i="4"/>
  <c r="H65" i="4" s="1"/>
  <c r="D64" i="4"/>
  <c r="C64" i="4"/>
  <c r="B64" i="4"/>
  <c r="A64" i="4"/>
  <c r="H63" i="4"/>
  <c r="D63" i="4"/>
  <c r="C63" i="4"/>
  <c r="B63" i="4"/>
  <c r="A63" i="4"/>
  <c r="D62" i="4"/>
  <c r="C62" i="4"/>
  <c r="B62" i="4"/>
  <c r="A62" i="4"/>
  <c r="E62" i="4" s="1"/>
  <c r="H61" i="4"/>
  <c r="F61" i="4"/>
  <c r="G61" i="4" s="1"/>
  <c r="E61" i="4"/>
  <c r="D61" i="4"/>
  <c r="C61" i="4"/>
  <c r="B61" i="4"/>
  <c r="A61" i="4"/>
  <c r="D60" i="4"/>
  <c r="C60" i="4"/>
  <c r="B60" i="4"/>
  <c r="A60" i="4"/>
  <c r="H60" i="4" s="1"/>
  <c r="D59" i="4"/>
  <c r="C59" i="4"/>
  <c r="B59" i="4"/>
  <c r="A59" i="4"/>
  <c r="D58" i="4"/>
  <c r="C58" i="4"/>
  <c r="B58" i="4"/>
  <c r="A58" i="4"/>
  <c r="H58" i="4" s="1"/>
  <c r="H57" i="4"/>
  <c r="D57" i="4"/>
  <c r="C57" i="4"/>
  <c r="B57" i="4"/>
  <c r="A57" i="4"/>
  <c r="H56" i="4"/>
  <c r="F56" i="4"/>
  <c r="G56" i="4" s="1"/>
  <c r="D56" i="4"/>
  <c r="C56" i="4"/>
  <c r="B56" i="4"/>
  <c r="A56" i="4"/>
  <c r="E56" i="4" s="1"/>
  <c r="D55" i="4"/>
  <c r="C55" i="4"/>
  <c r="B55" i="4"/>
  <c r="A55" i="4"/>
  <c r="H55" i="4" s="1"/>
  <c r="E54" i="4"/>
  <c r="D54" i="4"/>
  <c r="C54" i="4"/>
  <c r="B54" i="4"/>
  <c r="A54" i="4"/>
  <c r="D53" i="4"/>
  <c r="C53" i="4"/>
  <c r="B53" i="4"/>
  <c r="A53" i="4"/>
  <c r="H52" i="4"/>
  <c r="D52" i="4"/>
  <c r="C52" i="4"/>
  <c r="B52" i="4"/>
  <c r="A52" i="4"/>
  <c r="E52" i="4" s="1"/>
  <c r="H51" i="4"/>
  <c r="F51" i="4"/>
  <c r="G51" i="4" s="1"/>
  <c r="E51" i="4"/>
  <c r="D51" i="4"/>
  <c r="C51" i="4"/>
  <c r="B51" i="4"/>
  <c r="A51" i="4"/>
  <c r="D50" i="4"/>
  <c r="C50" i="4"/>
  <c r="B50" i="4"/>
  <c r="A50" i="4"/>
  <c r="H50" i="4" s="1"/>
  <c r="D49" i="4"/>
  <c r="C49" i="4"/>
  <c r="B49" i="4"/>
  <c r="A49" i="4"/>
  <c r="D48" i="4"/>
  <c r="C48" i="4"/>
  <c r="B48" i="4"/>
  <c r="A48" i="4"/>
  <c r="H48" i="4" s="1"/>
  <c r="E47" i="4"/>
  <c r="D47" i="4"/>
  <c r="C47" i="4"/>
  <c r="B47" i="4"/>
  <c r="A47" i="4"/>
  <c r="H47" i="4" s="1"/>
  <c r="H46" i="4"/>
  <c r="F46" i="4"/>
  <c r="G46" i="4" s="1"/>
  <c r="E46" i="4"/>
  <c r="D46" i="4"/>
  <c r="C46" i="4"/>
  <c r="B46" i="4"/>
  <c r="A46" i="4"/>
  <c r="D45" i="4"/>
  <c r="C45" i="4"/>
  <c r="B45" i="4"/>
  <c r="A45" i="4"/>
  <c r="H45" i="4" s="1"/>
  <c r="E44" i="4"/>
  <c r="D44" i="4"/>
  <c r="C44" i="4"/>
  <c r="B44" i="4"/>
  <c r="A44" i="4"/>
  <c r="D43" i="4"/>
  <c r="C43" i="4"/>
  <c r="B43" i="4"/>
  <c r="A43" i="4"/>
  <c r="H43" i="4" s="1"/>
  <c r="H42" i="4"/>
  <c r="F42" i="4"/>
  <c r="G42" i="4" s="1"/>
  <c r="E42" i="4"/>
  <c r="D42" i="4"/>
  <c r="C42" i="4"/>
  <c r="B42" i="4"/>
  <c r="A42" i="4"/>
  <c r="H41" i="4"/>
  <c r="F41" i="4"/>
  <c r="G41" i="4" s="1"/>
  <c r="E41" i="4"/>
  <c r="D41" i="4"/>
  <c r="C41" i="4"/>
  <c r="B41" i="4"/>
  <c r="A41" i="4"/>
  <c r="D40" i="4"/>
  <c r="C40" i="4"/>
  <c r="B40" i="4"/>
  <c r="A40" i="4"/>
  <c r="H40" i="4" s="1"/>
  <c r="F39" i="4"/>
  <c r="D39" i="4"/>
  <c r="C39" i="4"/>
  <c r="B39" i="4"/>
  <c r="A39" i="4"/>
  <c r="E39" i="4" s="1"/>
  <c r="D38" i="4"/>
  <c r="C38" i="4"/>
  <c r="B38" i="4"/>
  <c r="A38" i="4"/>
  <c r="H38" i="4" s="1"/>
  <c r="D37" i="4"/>
  <c r="C37" i="4"/>
  <c r="B37" i="4"/>
  <c r="A37" i="4"/>
  <c r="H37" i="4" s="1"/>
  <c r="D36" i="4"/>
  <c r="C36" i="4"/>
  <c r="B36" i="4"/>
  <c r="A36" i="4"/>
  <c r="H36" i="4" s="1"/>
  <c r="H35" i="4"/>
  <c r="D35" i="4"/>
  <c r="C35" i="4"/>
  <c r="B35" i="4"/>
  <c r="A35" i="4"/>
  <c r="E35" i="4" s="1"/>
  <c r="F34" i="4"/>
  <c r="E34" i="4"/>
  <c r="D34" i="4"/>
  <c r="C34" i="4"/>
  <c r="B34" i="4"/>
  <c r="A34" i="4"/>
  <c r="D33" i="4"/>
  <c r="C33" i="4"/>
  <c r="B33" i="4"/>
  <c r="A33" i="4"/>
  <c r="H32" i="4"/>
  <c r="F32" i="4"/>
  <c r="G32" i="4" s="1"/>
  <c r="D32" i="4"/>
  <c r="C32" i="4"/>
  <c r="B32" i="4"/>
  <c r="A32" i="4"/>
  <c r="E32" i="4" s="1"/>
  <c r="H31" i="4"/>
  <c r="F31" i="4"/>
  <c r="G31" i="4" s="1"/>
  <c r="E31" i="4"/>
  <c r="D31" i="4"/>
  <c r="C31" i="4"/>
  <c r="B31" i="4"/>
  <c r="A31" i="4"/>
  <c r="D30" i="4"/>
  <c r="C30" i="4"/>
  <c r="B30" i="4"/>
  <c r="A30" i="4"/>
  <c r="H30" i="4" s="1"/>
  <c r="D29" i="4"/>
  <c r="C29" i="4"/>
  <c r="B29" i="4"/>
  <c r="A29" i="4"/>
  <c r="D28" i="4"/>
  <c r="C28" i="4"/>
  <c r="B28" i="4"/>
  <c r="A28" i="4"/>
  <c r="H28" i="4" s="1"/>
  <c r="F27" i="4"/>
  <c r="G27" i="4" s="1"/>
  <c r="D27" i="4"/>
  <c r="C27" i="4"/>
  <c r="B27" i="4"/>
  <c r="A27" i="4"/>
  <c r="H27" i="4" s="1"/>
  <c r="H26" i="4"/>
  <c r="F26" i="4"/>
  <c r="G26" i="4" s="1"/>
  <c r="E26" i="4"/>
  <c r="D26" i="4"/>
  <c r="C26" i="4"/>
  <c r="B26" i="4"/>
  <c r="A26" i="4"/>
  <c r="D25" i="4"/>
  <c r="C25" i="4"/>
  <c r="B25" i="4"/>
  <c r="A25" i="4"/>
  <c r="F25" i="4" s="1"/>
  <c r="H24" i="4"/>
  <c r="F24" i="4"/>
  <c r="E24" i="4"/>
  <c r="D24" i="4"/>
  <c r="C24" i="4"/>
  <c r="B24" i="4"/>
  <c r="A24" i="4"/>
  <c r="H23" i="4"/>
  <c r="F23" i="4"/>
  <c r="G23" i="4" s="1"/>
  <c r="E23" i="4"/>
  <c r="D23" i="4"/>
  <c r="C23" i="4"/>
  <c r="B23" i="4"/>
  <c r="A23" i="4"/>
  <c r="D22" i="4"/>
  <c r="C22" i="4"/>
  <c r="B22" i="4"/>
  <c r="A22" i="4"/>
  <c r="H22" i="4" s="1"/>
  <c r="D21" i="4"/>
  <c r="C21" i="4"/>
  <c r="B21" i="4"/>
  <c r="A21" i="4"/>
  <c r="D20" i="4"/>
  <c r="C20" i="4"/>
  <c r="B20" i="4"/>
  <c r="A20" i="4"/>
  <c r="E20" i="4" s="1"/>
  <c r="H19" i="4"/>
  <c r="F19" i="4"/>
  <c r="G19" i="4" s="1"/>
  <c r="E19" i="4"/>
  <c r="D19" i="4"/>
  <c r="C19" i="4"/>
  <c r="B19" i="4"/>
  <c r="A19" i="4"/>
  <c r="H18" i="4"/>
  <c r="F18" i="4"/>
  <c r="G18" i="4" s="1"/>
  <c r="E18" i="4"/>
  <c r="D18" i="4"/>
  <c r="C18" i="4"/>
  <c r="B18" i="4"/>
  <c r="A18" i="4"/>
  <c r="D17" i="4"/>
  <c r="C17" i="4"/>
  <c r="B17" i="4"/>
  <c r="A17" i="4"/>
  <c r="H17" i="4" s="1"/>
  <c r="D16" i="4"/>
  <c r="C16" i="4"/>
  <c r="B16" i="4"/>
  <c r="A16" i="4"/>
  <c r="D15" i="4"/>
  <c r="C15" i="4"/>
  <c r="B15" i="4"/>
  <c r="A15" i="4"/>
  <c r="E15" i="4" s="1"/>
  <c r="H14" i="4"/>
  <c r="F14" i="4"/>
  <c r="G14" i="4" s="1"/>
  <c r="E14" i="4"/>
  <c r="D14" i="4"/>
  <c r="C14" i="4"/>
  <c r="B14" i="4"/>
  <c r="A14" i="4"/>
  <c r="H13" i="4"/>
  <c r="F13" i="4"/>
  <c r="G13" i="4" s="1"/>
  <c r="E13" i="4"/>
  <c r="D13" i="4"/>
  <c r="C13" i="4"/>
  <c r="B13" i="4"/>
  <c r="A13" i="4"/>
  <c r="D12" i="4"/>
  <c r="C12" i="4"/>
  <c r="B12" i="4"/>
  <c r="A12" i="4"/>
  <c r="H12" i="4" s="1"/>
  <c r="D11" i="4"/>
  <c r="C11" i="4"/>
  <c r="B11" i="4"/>
  <c r="A11" i="4"/>
  <c r="H10" i="4"/>
  <c r="D10" i="4"/>
  <c r="C10" i="4"/>
  <c r="B10" i="4"/>
  <c r="A10" i="4"/>
  <c r="E10" i="4" s="1"/>
  <c r="H9" i="4"/>
  <c r="F9" i="4"/>
  <c r="G9" i="4" s="1"/>
  <c r="D9" i="4"/>
  <c r="C9" i="4"/>
  <c r="B9" i="4"/>
  <c r="A9" i="4"/>
  <c r="E9" i="4" s="1"/>
  <c r="D8" i="4"/>
  <c r="C8" i="4"/>
  <c r="B8" i="4"/>
  <c r="A8" i="4"/>
  <c r="H8" i="4" s="1"/>
  <c r="F7" i="4"/>
  <c r="G7" i="4" s="1"/>
  <c r="E7" i="4"/>
  <c r="D7" i="4"/>
  <c r="C7" i="4"/>
  <c r="B7" i="4"/>
  <c r="A7" i="4"/>
  <c r="H7" i="4" s="1"/>
  <c r="D6" i="4"/>
  <c r="C6" i="4"/>
  <c r="B6" i="4"/>
  <c r="A6" i="4"/>
  <c r="L2" i="4" s="1"/>
  <c r="H5" i="4"/>
  <c r="D5" i="4"/>
  <c r="C5" i="4"/>
  <c r="B5" i="4"/>
  <c r="A5" i="4"/>
  <c r="F5" i="4" s="1"/>
  <c r="G5" i="4" s="1"/>
  <c r="E70" i="4" l="1"/>
  <c r="H71" i="4"/>
  <c r="G70" i="4"/>
  <c r="E60" i="4"/>
  <c r="H6" i="4"/>
  <c r="E36" i="4"/>
  <c r="F60" i="4"/>
  <c r="G60" i="4" s="1"/>
  <c r="F36" i="4"/>
  <c r="G36" i="4" s="1"/>
  <c r="E50" i="4"/>
  <c r="H72" i="4"/>
  <c r="E8" i="4"/>
  <c r="E57" i="4"/>
  <c r="E71" i="4"/>
  <c r="G24" i="4"/>
  <c r="E30" i="4"/>
  <c r="F8" i="4"/>
  <c r="G8" i="4" s="1"/>
  <c r="E22" i="4"/>
  <c r="F30" i="4"/>
  <c r="G30" i="4" s="1"/>
  <c r="F45" i="4"/>
  <c r="F50" i="4"/>
  <c r="G50" i="4" s="1"/>
  <c r="H20" i="4"/>
  <c r="F35" i="4"/>
  <c r="G35" i="4" s="1"/>
  <c r="G45" i="4"/>
  <c r="F57" i="4"/>
  <c r="G57" i="4" s="1"/>
  <c r="F71" i="4"/>
  <c r="G71" i="4" s="1"/>
  <c r="H15" i="4"/>
  <c r="E27" i="4"/>
  <c r="F10" i="4"/>
  <c r="G10" i="4" s="1"/>
  <c r="H11" i="4"/>
  <c r="F15" i="4"/>
  <c r="H16" i="4"/>
  <c r="F20" i="4"/>
  <c r="G20" i="4" s="1"/>
  <c r="H21" i="4"/>
  <c r="G25" i="4"/>
  <c r="H34" i="4"/>
  <c r="G34" i="4"/>
  <c r="F38" i="4"/>
  <c r="G38" i="4" s="1"/>
  <c r="E38" i="4"/>
  <c r="E45" i="4"/>
  <c r="F52" i="4"/>
  <c r="G52" i="4" s="1"/>
  <c r="H67" i="4"/>
  <c r="F72" i="4"/>
  <c r="G72" i="4" s="1"/>
  <c r="H79" i="4"/>
  <c r="G79" i="4"/>
  <c r="F79" i="4"/>
  <c r="F88" i="4"/>
  <c r="E88" i="4"/>
  <c r="G88" i="4"/>
  <c r="F92" i="4"/>
  <c r="G107" i="4"/>
  <c r="H114" i="4"/>
  <c r="G114" i="4"/>
  <c r="F114" i="4"/>
  <c r="H122" i="4"/>
  <c r="F138" i="4"/>
  <c r="E138" i="4"/>
  <c r="G138" i="4"/>
  <c r="F142" i="4"/>
  <c r="G157" i="4"/>
  <c r="H164" i="4"/>
  <c r="G164" i="4"/>
  <c r="F164" i="4"/>
  <c r="H172" i="4"/>
  <c r="H192" i="4"/>
  <c r="F197" i="4"/>
  <c r="H204" i="4"/>
  <c r="G204" i="4"/>
  <c r="F204" i="4"/>
  <c r="H217" i="4"/>
  <c r="F222" i="4"/>
  <c r="H268" i="4"/>
  <c r="G268" i="4"/>
  <c r="F268" i="4"/>
  <c r="E271" i="4"/>
  <c r="H271" i="4"/>
  <c r="G271" i="4"/>
  <c r="H273" i="4"/>
  <c r="G273" i="4"/>
  <c r="F273" i="4"/>
  <c r="E273" i="4"/>
  <c r="H293" i="4"/>
  <c r="G293" i="4"/>
  <c r="F293" i="4"/>
  <c r="G335" i="4"/>
  <c r="H335" i="4"/>
  <c r="E335" i="4"/>
  <c r="F335" i="4"/>
  <c r="H351" i="4"/>
  <c r="G351" i="4"/>
  <c r="F351" i="4"/>
  <c r="E351" i="4"/>
  <c r="E354" i="4"/>
  <c r="F354" i="4"/>
  <c r="H354" i="4"/>
  <c r="G15" i="4"/>
  <c r="H25" i="4"/>
  <c r="H44" i="4"/>
  <c r="G44" i="4"/>
  <c r="F44" i="4"/>
  <c r="F68" i="4"/>
  <c r="G68" i="4" s="1"/>
  <c r="E68" i="4"/>
  <c r="H99" i="4"/>
  <c r="G99" i="4"/>
  <c r="F99" i="4"/>
  <c r="H107" i="4"/>
  <c r="F123" i="4"/>
  <c r="E123" i="4"/>
  <c r="G123" i="4"/>
  <c r="H149" i="4"/>
  <c r="G149" i="4"/>
  <c r="F149" i="4"/>
  <c r="H157" i="4"/>
  <c r="F173" i="4"/>
  <c r="E173" i="4"/>
  <c r="G173" i="4"/>
  <c r="F193" i="4"/>
  <c r="E193" i="4"/>
  <c r="G193" i="4"/>
  <c r="F218" i="4"/>
  <c r="E218" i="4"/>
  <c r="G218" i="4"/>
  <c r="F242" i="4"/>
  <c r="E242" i="4"/>
  <c r="G242" i="4"/>
  <c r="H242" i="4"/>
  <c r="F257" i="4"/>
  <c r="E257" i="4"/>
  <c r="G257" i="4"/>
  <c r="H59" i="4"/>
  <c r="F59" i="4"/>
  <c r="G59" i="4" s="1"/>
  <c r="H84" i="4"/>
  <c r="G84" i="4"/>
  <c r="F84" i="4"/>
  <c r="F108" i="4"/>
  <c r="E108" i="4"/>
  <c r="G108" i="4"/>
  <c r="H134" i="4"/>
  <c r="G134" i="4"/>
  <c r="F134" i="4"/>
  <c r="F158" i="4"/>
  <c r="E158" i="4"/>
  <c r="G158" i="4"/>
  <c r="H184" i="4"/>
  <c r="G184" i="4"/>
  <c r="F184" i="4"/>
  <c r="H209" i="4"/>
  <c r="G209" i="4"/>
  <c r="F209" i="4"/>
  <c r="H301" i="4"/>
  <c r="G301" i="4"/>
  <c r="F301" i="4"/>
  <c r="E301" i="4"/>
  <c r="E304" i="4"/>
  <c r="F304" i="4"/>
  <c r="G304" i="4"/>
  <c r="H304" i="4"/>
  <c r="G325" i="4"/>
  <c r="E325" i="4"/>
  <c r="F325" i="4"/>
  <c r="H325" i="4"/>
  <c r="E333" i="4"/>
  <c r="G333" i="4"/>
  <c r="F333" i="4"/>
  <c r="H333" i="4"/>
  <c r="F53" i="4"/>
  <c r="G53" i="4" s="1"/>
  <c r="E53" i="4"/>
  <c r="F73" i="4"/>
  <c r="E73" i="4"/>
  <c r="G73" i="4"/>
  <c r="F93" i="4"/>
  <c r="E93" i="4"/>
  <c r="G93" i="4"/>
  <c r="H119" i="4"/>
  <c r="G119" i="4"/>
  <c r="F119" i="4"/>
  <c r="F143" i="4"/>
  <c r="E143" i="4"/>
  <c r="G143" i="4"/>
  <c r="H169" i="4"/>
  <c r="G169" i="4"/>
  <c r="F169" i="4"/>
  <c r="F198" i="4"/>
  <c r="E198" i="4"/>
  <c r="G198" i="4"/>
  <c r="F223" i="4"/>
  <c r="E223" i="4"/>
  <c r="G223" i="4"/>
  <c r="E231" i="4"/>
  <c r="H231" i="4"/>
  <c r="G231" i="4"/>
  <c r="H233" i="4"/>
  <c r="G233" i="4"/>
  <c r="F233" i="4"/>
  <c r="E233" i="4"/>
  <c r="E236" i="4"/>
  <c r="F236" i="4"/>
  <c r="G236" i="4"/>
  <c r="F277" i="4"/>
  <c r="E277" i="4"/>
  <c r="G277" i="4"/>
  <c r="F282" i="4"/>
  <c r="E282" i="4"/>
  <c r="G282" i="4"/>
  <c r="H282" i="4"/>
  <c r="E316" i="4"/>
  <c r="H316" i="4"/>
  <c r="G330" i="4"/>
  <c r="H330" i="4"/>
  <c r="F330" i="4"/>
  <c r="E330" i="4"/>
  <c r="H104" i="4"/>
  <c r="G104" i="4"/>
  <c r="F104" i="4"/>
  <c r="F128" i="4"/>
  <c r="E128" i="4"/>
  <c r="G128" i="4"/>
  <c r="H154" i="4"/>
  <c r="G154" i="4"/>
  <c r="F154" i="4"/>
  <c r="F178" i="4"/>
  <c r="E178" i="4"/>
  <c r="G178" i="4"/>
  <c r="H189" i="4"/>
  <c r="G189" i="4"/>
  <c r="F189" i="4"/>
  <c r="H214" i="4"/>
  <c r="G214" i="4"/>
  <c r="F214" i="4"/>
  <c r="F262" i="4"/>
  <c r="E262" i="4"/>
  <c r="G262" i="4"/>
  <c r="H262" i="4"/>
  <c r="F287" i="4"/>
  <c r="E287" i="4"/>
  <c r="G287" i="4"/>
  <c r="H287" i="4"/>
  <c r="F43" i="4"/>
  <c r="G43" i="4" s="1"/>
  <c r="E43" i="4"/>
  <c r="H49" i="4"/>
  <c r="F49" i="4"/>
  <c r="G49" i="4" s="1"/>
  <c r="F113" i="4"/>
  <c r="E113" i="4"/>
  <c r="G113" i="4"/>
  <c r="F203" i="4"/>
  <c r="E203" i="4"/>
  <c r="G203" i="4"/>
  <c r="F321" i="4"/>
  <c r="E321" i="4"/>
  <c r="G321" i="4"/>
  <c r="H321" i="4"/>
  <c r="E339" i="4"/>
  <c r="H339" i="4"/>
  <c r="G339" i="4"/>
  <c r="E434" i="4"/>
  <c r="G434" i="4"/>
  <c r="F434" i="4"/>
  <c r="H434" i="4"/>
  <c r="E12" i="4"/>
  <c r="F17" i="4"/>
  <c r="G17" i="4" s="1"/>
  <c r="F22" i="4"/>
  <c r="G22" i="4" s="1"/>
  <c r="E37" i="4"/>
  <c r="E59" i="4"/>
  <c r="F62" i="4"/>
  <c r="G62" i="4" s="1"/>
  <c r="F98" i="4"/>
  <c r="E98" i="4"/>
  <c r="G98" i="4"/>
  <c r="F102" i="4"/>
  <c r="H108" i="4"/>
  <c r="G117" i="4"/>
  <c r="H124" i="4"/>
  <c r="G124" i="4"/>
  <c r="F124" i="4"/>
  <c r="E134" i="4"/>
  <c r="F148" i="4"/>
  <c r="E148" i="4"/>
  <c r="G148" i="4"/>
  <c r="H158" i="4"/>
  <c r="G167" i="4"/>
  <c r="H194" i="4"/>
  <c r="G194" i="4"/>
  <c r="F194" i="4"/>
  <c r="F371" i="4"/>
  <c r="E371" i="4"/>
  <c r="G371" i="4"/>
  <c r="H371" i="4"/>
  <c r="H29" i="4"/>
  <c r="F33" i="4"/>
  <c r="E33" i="4"/>
  <c r="H64" i="4"/>
  <c r="F64" i="4"/>
  <c r="G64" i="4" s="1"/>
  <c r="E6" i="4"/>
  <c r="E17" i="4"/>
  <c r="F78" i="4"/>
  <c r="E78" i="4"/>
  <c r="G78" i="4"/>
  <c r="H89" i="4"/>
  <c r="G89" i="4"/>
  <c r="F89" i="4"/>
  <c r="H139" i="4"/>
  <c r="G139" i="4"/>
  <c r="F139" i="4"/>
  <c r="F163" i="4"/>
  <c r="E163" i="4"/>
  <c r="G163" i="4"/>
  <c r="E5" i="4"/>
  <c r="F6" i="4"/>
  <c r="G6" i="4" s="1"/>
  <c r="F12" i="4"/>
  <c r="H39" i="4"/>
  <c r="G39" i="4"/>
  <c r="E40" i="4"/>
  <c r="F47" i="4"/>
  <c r="H69" i="4"/>
  <c r="F69" i="4"/>
  <c r="G69" i="4" s="1"/>
  <c r="E84" i="4"/>
  <c r="F152" i="4"/>
  <c r="H174" i="4"/>
  <c r="G174" i="4"/>
  <c r="F174" i="4"/>
  <c r="E184" i="4"/>
  <c r="F187" i="4"/>
  <c r="E209" i="4"/>
  <c r="F212" i="4"/>
  <c r="H219" i="4"/>
  <c r="G219" i="4"/>
  <c r="F219" i="4"/>
  <c r="E256" i="4"/>
  <c r="F256" i="4"/>
  <c r="G256" i="4"/>
  <c r="G305" i="4"/>
  <c r="H305" i="4"/>
  <c r="F305" i="4"/>
  <c r="E305" i="4"/>
  <c r="E308" i="4"/>
  <c r="H308" i="4"/>
  <c r="G310" i="4"/>
  <c r="H310" i="4"/>
  <c r="F310" i="4"/>
  <c r="E334" i="4"/>
  <c r="G334" i="4"/>
  <c r="F334" i="4"/>
  <c r="H334" i="4"/>
  <c r="G350" i="4"/>
  <c r="E350" i="4"/>
  <c r="F350" i="4"/>
  <c r="H350" i="4"/>
  <c r="E11" i="4"/>
  <c r="G12" i="4"/>
  <c r="E16" i="4"/>
  <c r="E21" i="4"/>
  <c r="F37" i="4"/>
  <c r="G37" i="4" s="1"/>
  <c r="F40" i="4"/>
  <c r="G40" i="4" s="1"/>
  <c r="G47" i="4"/>
  <c r="F58" i="4"/>
  <c r="G58" i="4" s="1"/>
  <c r="E58" i="4"/>
  <c r="H73" i="4"/>
  <c r="F83" i="4"/>
  <c r="E83" i="4"/>
  <c r="G83" i="4"/>
  <c r="F87" i="4"/>
  <c r="H93" i="4"/>
  <c r="G102" i="4"/>
  <c r="H109" i="4"/>
  <c r="G109" i="4"/>
  <c r="F109" i="4"/>
  <c r="H117" i="4"/>
  <c r="E119" i="4"/>
  <c r="F133" i="4"/>
  <c r="E133" i="4"/>
  <c r="G133" i="4"/>
  <c r="F137" i="4"/>
  <c r="H143" i="4"/>
  <c r="G152" i="4"/>
  <c r="H159" i="4"/>
  <c r="G159" i="4"/>
  <c r="F159" i="4"/>
  <c r="H167" i="4"/>
  <c r="E169" i="4"/>
  <c r="F183" i="4"/>
  <c r="E183" i="4"/>
  <c r="G183" i="4"/>
  <c r="G187" i="4"/>
  <c r="H198" i="4"/>
  <c r="F208" i="4"/>
  <c r="E208" i="4"/>
  <c r="G208" i="4"/>
  <c r="G212" i="4"/>
  <c r="H223" i="4"/>
  <c r="F227" i="4"/>
  <c r="E227" i="4"/>
  <c r="G227" i="4"/>
  <c r="H227" i="4"/>
  <c r="F231" i="4"/>
  <c r="H236" i="4"/>
  <c r="H248" i="4"/>
  <c r="G248" i="4"/>
  <c r="F248" i="4"/>
  <c r="H253" i="4"/>
  <c r="G253" i="4"/>
  <c r="F253" i="4"/>
  <c r="E253" i="4"/>
  <c r="H277" i="4"/>
  <c r="E281" i="4"/>
  <c r="F281" i="4"/>
  <c r="F313" i="4"/>
  <c r="E313" i="4"/>
  <c r="G313" i="4"/>
  <c r="H313" i="4"/>
  <c r="F316" i="4"/>
  <c r="H318" i="4"/>
  <c r="G318" i="4"/>
  <c r="F318" i="4"/>
  <c r="E318" i="4"/>
  <c r="E341" i="4"/>
  <c r="G341" i="4"/>
  <c r="F341" i="4"/>
  <c r="H341" i="4"/>
  <c r="F11" i="4"/>
  <c r="G11" i="4" s="1"/>
  <c r="F16" i="4"/>
  <c r="G16" i="4" s="1"/>
  <c r="F21" i="4"/>
  <c r="G21" i="4" s="1"/>
  <c r="E25" i="4"/>
  <c r="F28" i="4"/>
  <c r="G28" i="4" s="1"/>
  <c r="E28" i="4"/>
  <c r="E29" i="4"/>
  <c r="G33" i="4"/>
  <c r="H53" i="4"/>
  <c r="E55" i="4"/>
  <c r="H62" i="4"/>
  <c r="E64" i="4"/>
  <c r="F67" i="4"/>
  <c r="G67" i="4" s="1"/>
  <c r="H74" i="4"/>
  <c r="G74" i="4"/>
  <c r="F74" i="4"/>
  <c r="G87" i="4"/>
  <c r="H94" i="4"/>
  <c r="G94" i="4"/>
  <c r="F94" i="4"/>
  <c r="H102" i="4"/>
  <c r="E104" i="4"/>
  <c r="F118" i="4"/>
  <c r="E118" i="4"/>
  <c r="G118" i="4"/>
  <c r="F122" i="4"/>
  <c r="H128" i="4"/>
  <c r="G137" i="4"/>
  <c r="H144" i="4"/>
  <c r="G144" i="4"/>
  <c r="F144" i="4"/>
  <c r="H152" i="4"/>
  <c r="E154" i="4"/>
  <c r="F168" i="4"/>
  <c r="E168" i="4"/>
  <c r="G168" i="4"/>
  <c r="F172" i="4"/>
  <c r="H178" i="4"/>
  <c r="H187" i="4"/>
  <c r="E189" i="4"/>
  <c r="F192" i="4"/>
  <c r="H199" i="4"/>
  <c r="G199" i="4"/>
  <c r="F199" i="4"/>
  <c r="H212" i="4"/>
  <c r="E214" i="4"/>
  <c r="F217" i="4"/>
  <c r="H224" i="4"/>
  <c r="G224" i="4"/>
  <c r="F224" i="4"/>
  <c r="F237" i="4"/>
  <c r="E237" i="4"/>
  <c r="G237" i="4"/>
  <c r="E251" i="4"/>
  <c r="H251" i="4"/>
  <c r="G251" i="4"/>
  <c r="F251" i="4"/>
  <c r="H278" i="4"/>
  <c r="G278" i="4"/>
  <c r="F278" i="4"/>
  <c r="E278" i="4"/>
  <c r="G316" i="4"/>
  <c r="F29" i="4"/>
  <c r="G29" i="4" s="1"/>
  <c r="H33" i="4"/>
  <c r="F48" i="4"/>
  <c r="G48" i="4" s="1"/>
  <c r="E48" i="4"/>
  <c r="E49" i="4"/>
  <c r="H54" i="4"/>
  <c r="F54" i="4"/>
  <c r="G54" i="4" s="1"/>
  <c r="F55" i="4"/>
  <c r="G55" i="4" s="1"/>
  <c r="F63" i="4"/>
  <c r="G63" i="4" s="1"/>
  <c r="E63" i="4"/>
  <c r="H78" i="4"/>
  <c r="H87" i="4"/>
  <c r="E89" i="4"/>
  <c r="F103" i="4"/>
  <c r="E103" i="4"/>
  <c r="G103" i="4"/>
  <c r="F107" i="4"/>
  <c r="H113" i="4"/>
  <c r="G122" i="4"/>
  <c r="H129" i="4"/>
  <c r="G129" i="4"/>
  <c r="F129" i="4"/>
  <c r="H137" i="4"/>
  <c r="E139" i="4"/>
  <c r="F153" i="4"/>
  <c r="E153" i="4"/>
  <c r="G153" i="4"/>
  <c r="F157" i="4"/>
  <c r="H163" i="4"/>
  <c r="G172" i="4"/>
  <c r="H179" i="4"/>
  <c r="G179" i="4"/>
  <c r="F179" i="4"/>
  <c r="F188" i="4"/>
  <c r="E188" i="4"/>
  <c r="G188" i="4"/>
  <c r="G192" i="4"/>
  <c r="H203" i="4"/>
  <c r="F213" i="4"/>
  <c r="E213" i="4"/>
  <c r="G213" i="4"/>
  <c r="G217" i="4"/>
  <c r="E276" i="4"/>
  <c r="G276" i="4"/>
  <c r="F276" i="4"/>
  <c r="H276" i="4"/>
  <c r="F296" i="4"/>
  <c r="E296" i="4"/>
  <c r="G296" i="4"/>
  <c r="F339" i="4"/>
  <c r="G400" i="4"/>
  <c r="E400" i="4"/>
  <c r="F400" i="4"/>
  <c r="H400" i="4"/>
  <c r="H228" i="4"/>
  <c r="G228" i="4"/>
  <c r="H243" i="4"/>
  <c r="G243" i="4"/>
  <c r="F243" i="4"/>
  <c r="F252" i="4"/>
  <c r="E252" i="4"/>
  <c r="G252" i="4"/>
  <c r="H263" i="4"/>
  <c r="G263" i="4"/>
  <c r="F263" i="4"/>
  <c r="H288" i="4"/>
  <c r="G288" i="4"/>
  <c r="F288" i="4"/>
  <c r="F363" i="4"/>
  <c r="E363" i="4"/>
  <c r="G363" i="4"/>
  <c r="G380" i="4"/>
  <c r="H380" i="4"/>
  <c r="F380" i="4"/>
  <c r="E380" i="4"/>
  <c r="G385" i="4"/>
  <c r="H385" i="4"/>
  <c r="E414" i="4"/>
  <c r="H414" i="4"/>
  <c r="G414" i="4"/>
  <c r="H433" i="4"/>
  <c r="H368" i="4"/>
  <c r="G368" i="4"/>
  <c r="F368" i="4"/>
  <c r="F388" i="4"/>
  <c r="E388" i="4"/>
  <c r="G388" i="4"/>
  <c r="H376" i="4"/>
  <c r="G376" i="4"/>
  <c r="F376" i="4"/>
  <c r="F396" i="4"/>
  <c r="E396" i="4"/>
  <c r="G396" i="4"/>
  <c r="G405" i="4"/>
  <c r="H405" i="4"/>
  <c r="F405" i="4"/>
  <c r="E405" i="4"/>
  <c r="G410" i="4"/>
  <c r="H410" i="4"/>
  <c r="G425" i="4"/>
  <c r="E425" i="4"/>
  <c r="F425" i="4"/>
  <c r="G460" i="4"/>
  <c r="H460" i="4"/>
  <c r="F460" i="4"/>
  <c r="E460" i="4"/>
  <c r="E359" i="4"/>
  <c r="G359" i="4"/>
  <c r="F359" i="4"/>
  <c r="H359" i="4"/>
  <c r="E379" i="4"/>
  <c r="F379" i="4"/>
  <c r="H393" i="4"/>
  <c r="G393" i="4"/>
  <c r="F393" i="4"/>
  <c r="G441" i="4"/>
  <c r="E441" i="4"/>
  <c r="E364" i="4"/>
  <c r="H364" i="4"/>
  <c r="G364" i="4"/>
  <c r="F413" i="4"/>
  <c r="E413" i="4"/>
  <c r="G413" i="4"/>
  <c r="G430" i="4"/>
  <c r="H430" i="4"/>
  <c r="F430" i="4"/>
  <c r="E430" i="4"/>
  <c r="G435" i="4"/>
  <c r="H435" i="4"/>
  <c r="E368" i="4"/>
  <c r="E384" i="4"/>
  <c r="G384" i="4"/>
  <c r="F384" i="4"/>
  <c r="H384" i="4"/>
  <c r="H388" i="4"/>
  <c r="H401" i="4"/>
  <c r="G401" i="4"/>
  <c r="F401" i="4"/>
  <c r="F421" i="4"/>
  <c r="E421" i="4"/>
  <c r="G421" i="4"/>
  <c r="H238" i="4"/>
  <c r="G238" i="4"/>
  <c r="F238" i="4"/>
  <c r="F247" i="4"/>
  <c r="E247" i="4"/>
  <c r="G247" i="4"/>
  <c r="H258" i="4"/>
  <c r="G258" i="4"/>
  <c r="F258" i="4"/>
  <c r="F267" i="4"/>
  <c r="E267" i="4"/>
  <c r="G267" i="4"/>
  <c r="F292" i="4"/>
  <c r="E292" i="4"/>
  <c r="G292" i="4"/>
  <c r="F338" i="4"/>
  <c r="E338" i="4"/>
  <c r="G338" i="4"/>
  <c r="E376" i="4"/>
  <c r="E389" i="4"/>
  <c r="H389" i="4"/>
  <c r="G389" i="4"/>
  <c r="H396" i="4"/>
  <c r="E404" i="4"/>
  <c r="F404" i="4"/>
  <c r="G408" i="4"/>
  <c r="E410" i="4"/>
  <c r="G416" i="4"/>
  <c r="H418" i="4"/>
  <c r="G418" i="4"/>
  <c r="F418" i="4"/>
  <c r="H425" i="4"/>
  <c r="F438" i="4"/>
  <c r="E438" i="4"/>
  <c r="G438" i="4"/>
  <c r="F446" i="4"/>
  <c r="E446" i="4"/>
  <c r="G446" i="4"/>
  <c r="H283" i="4"/>
  <c r="G283" i="4"/>
  <c r="F283" i="4"/>
  <c r="E309" i="4"/>
  <c r="G309" i="4"/>
  <c r="F309" i="4"/>
  <c r="H309" i="4"/>
  <c r="H326" i="4"/>
  <c r="G326" i="4"/>
  <c r="F326" i="4"/>
  <c r="F346" i="4"/>
  <c r="E346" i="4"/>
  <c r="G346" i="4"/>
  <c r="G355" i="4"/>
  <c r="H355" i="4"/>
  <c r="F355" i="4"/>
  <c r="E355" i="4"/>
  <c r="G360" i="4"/>
  <c r="H360" i="4"/>
  <c r="G375" i="4"/>
  <c r="E375" i="4"/>
  <c r="F375" i="4"/>
  <c r="G379" i="4"/>
  <c r="E393" i="4"/>
  <c r="H408" i="4"/>
  <c r="F410" i="4"/>
  <c r="H416" i="4"/>
  <c r="H426" i="4"/>
  <c r="G426" i="4"/>
  <c r="F426" i="4"/>
  <c r="F433" i="4"/>
  <c r="F441" i="4"/>
  <c r="G485" i="4"/>
  <c r="H485" i="4"/>
  <c r="F485" i="4"/>
  <c r="E485" i="4"/>
  <c r="F232" i="4"/>
  <c r="E232" i="4"/>
  <c r="G232" i="4"/>
  <c r="F272" i="4"/>
  <c r="E272" i="4"/>
  <c r="G272" i="4"/>
  <c r="G300" i="4"/>
  <c r="E300" i="4"/>
  <c r="F300" i="4"/>
  <c r="E314" i="4"/>
  <c r="H314" i="4"/>
  <c r="G314" i="4"/>
  <c r="E329" i="4"/>
  <c r="F329" i="4"/>
  <c r="H343" i="4"/>
  <c r="G343" i="4"/>
  <c r="F343" i="4"/>
  <c r="F364" i="4"/>
  <c r="H379" i="4"/>
  <c r="E409" i="4"/>
  <c r="G409" i="4"/>
  <c r="F409" i="4"/>
  <c r="H409" i="4"/>
  <c r="H413" i="4"/>
  <c r="E429" i="4"/>
  <c r="F429" i="4"/>
  <c r="G433" i="4"/>
  <c r="E435" i="4"/>
  <c r="H441" i="4"/>
  <c r="F450" i="4"/>
  <c r="F454" i="4"/>
  <c r="E458" i="4"/>
  <c r="H459" i="4"/>
  <c r="G463" i="4"/>
  <c r="E466" i="4"/>
  <c r="G471" i="4"/>
  <c r="F475" i="4"/>
  <c r="F479" i="4"/>
  <c r="E483" i="4"/>
  <c r="H484" i="4"/>
  <c r="G488" i="4"/>
  <c r="E491" i="4"/>
  <c r="G496" i="4"/>
  <c r="H498" i="4"/>
  <c r="G498" i="4"/>
  <c r="H454" i="4"/>
  <c r="G458" i="4"/>
  <c r="G466" i="4"/>
  <c r="H479" i="4"/>
  <c r="G483" i="4"/>
  <c r="G491" i="4"/>
  <c r="G439" i="4"/>
  <c r="F443" i="4"/>
  <c r="F451" i="4"/>
  <c r="E455" i="4"/>
  <c r="G464" i="4"/>
  <c r="F468" i="4"/>
  <c r="F476" i="4"/>
  <c r="E480" i="4"/>
  <c r="G489" i="4"/>
  <c r="F493" i="4"/>
  <c r="H439" i="4"/>
  <c r="G443" i="4"/>
  <c r="G451" i="4"/>
  <c r="F455" i="4"/>
  <c r="F459" i="4"/>
  <c r="E463" i="4"/>
  <c r="H464" i="4"/>
  <c r="G468" i="4"/>
  <c r="E471" i="4"/>
  <c r="G476" i="4"/>
  <c r="F480" i="4"/>
  <c r="F484" i="4"/>
  <c r="E488" i="4"/>
  <c r="H489" i="4"/>
  <c r="G493" i="4"/>
  <c r="E496" i="4"/>
  <c r="E450" i="4"/>
  <c r="H455" i="4"/>
  <c r="G459" i="4"/>
  <c r="E475" i="4"/>
  <c r="H480" i="4"/>
  <c r="G484" i="4"/>
  <c r="E502" i="4"/>
  <c r="G503" i="4"/>
  <c r="F502" i="4"/>
  <c r="H503" i="4"/>
  <c r="E504" i="4"/>
  <c r="F504" i="4"/>
  <c r="E503" i="4"/>
  <c r="G504" i="4"/>
  <c r="L6" i="4" l="1"/>
  <c r="L7" i="4"/>
  <c r="L5" i="4"/>
  <c r="L4" i="4"/>
  <c r="L3" i="4"/>
</calcChain>
</file>

<file path=xl/sharedStrings.xml><?xml version="1.0" encoding="utf-8"?>
<sst xmlns="http://schemas.openxmlformats.org/spreadsheetml/2006/main" count="431" uniqueCount="277">
  <si>
    <t>First Five Project — Admin Sheet</t>
  </si>
  <si>
    <t>Live progress tracker for the National Conference</t>
  </si>
  <si>
    <t>How this sheet is wired up</t>
  </si>
  <si>
    <t>1.  This is the SHEET tab structure expected by the Apps Script backend (Code.gs).</t>
  </si>
  <si>
    <t>2.  Upload this file to Google Drive, open it as a Google Sheet, then follow backend/SETUP.md to attach Code.gs.</t>
  </si>
  <si>
    <t>3.  The Apps Script will write to 'Members' (when someone signs up) and 'Completions' (when they finish a task).</t>
  </si>
  <si>
    <t>4.  'Live Progress' is formula-driven — it auto-summarizes Members + Completions. You don't write to it; just watch it during the conference.</t>
  </si>
  <si>
    <t>5.  Refresh frequency: Google Sheets recalculates automatically every few seconds when data arrives. Your view will update live.</t>
  </si>
  <si>
    <t>6.  During conference: leave Live Progress open on a second monitor. Sort by 'Last Activity' to see who just earned a badge.</t>
  </si>
  <si>
    <t>7.  Privacy: Only people you explicitly share the Sheet with will see member data. Don't share the link publicly.</t>
  </si>
  <si>
    <t>8.  Photos: signature and photo blobs are stored in 'Completions' as base64 strings (only photos under ~200KB). Click a cell to peek.</t>
  </si>
  <si>
    <t>Pro tip</t>
  </si>
  <si>
    <t>Build a tiny pivot or chart on Live Progress (Insert &gt; Chart in Google Sheets) showing percent completion by chapter. Project it on a screen at the back of the registration table. Members love seeing their chapter climb.</t>
  </si>
  <si>
    <t>email</t>
  </si>
  <si>
    <t>name</t>
  </si>
  <si>
    <t>chapter</t>
  </si>
  <si>
    <t>year</t>
  </si>
  <si>
    <t>headline</t>
  </si>
  <si>
    <t>source</t>
  </si>
  <si>
    <t>created_at</t>
  </si>
  <si>
    <t>tyrone@example.org</t>
  </si>
  <si>
    <t>Tyrone Gentry</t>
  </si>
  <si>
    <t>Texas Alpha</t>
  </si>
  <si>
    <t>task_id</t>
  </si>
  <si>
    <t>proof_kind</t>
  </si>
  <si>
    <t>validator</t>
  </si>
  <si>
    <t>answer</t>
  </si>
  <si>
    <t>photo_data_url</t>
  </si>
  <si>
    <t>completed_at</t>
  </si>
  <si>
    <t>(Empty until a member completes their first task)</t>
  </si>
  <si>
    <t>Live Progress Dashboard</t>
  </si>
  <si>
    <t>Conference Snapshot</t>
  </si>
  <si>
    <t>This sheet recalculates automatically as Members and Completions are written by the app.</t>
  </si>
  <si>
    <t>Total members</t>
  </si>
  <si>
    <t>Members with ≥1 task</t>
  </si>
  <si>
    <t>points</t>
  </si>
  <si>
    <t>Email</t>
  </si>
  <si>
    <t>Name</t>
  </si>
  <si>
    <t>Chapter</t>
  </si>
  <si>
    <t>Year</t>
  </si>
  <si>
    <t>Tasks Done</t>
  </si>
  <si>
    <t>Points</t>
  </si>
  <si>
    <t>Tier</t>
  </si>
  <si>
    <t>Last Activity</t>
  </si>
  <si>
    <t>Tasks completed total</t>
  </si>
  <si>
    <t>T01</t>
  </si>
  <si>
    <t>Bronze tier</t>
  </si>
  <si>
    <t>T02</t>
  </si>
  <si>
    <t>Silver tier</t>
  </si>
  <si>
    <t>T03</t>
  </si>
  <si>
    <t>Gold tier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</si>
  <si>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</si>
  <si>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</si>
  <si>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</si>
  <si>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</si>
  <si>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</si>
  <si>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</si>
  <si>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</si>
  <si>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</si>
  <si>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</si>
  <si>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</si>
  <si>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</si>
  <si>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</si>
  <si>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task_name</t>
  </si>
  <si>
    <t>category</t>
  </si>
  <si>
    <t>proof_type</t>
  </si>
  <si>
    <t>where</t>
  </si>
  <si>
    <t>mission_tie_in</t>
  </si>
  <si>
    <t>Attend the First-Timer's Welcome</t>
  </si>
  <si>
    <t>Conference Anchor</t>
  </si>
  <si>
    <t>Signature</t>
  </si>
  <si>
    <t>Main Hall · Day 1, 9:00 AM</t>
  </si>
  <si>
    <t>Article XI – Creed: shared experience and fellowship.</t>
  </si>
  <si>
    <t>Meet a National Board Member</t>
  </si>
  <si>
    <t>Networking</t>
  </si>
  <si>
    <t>Networking Lounge · Days 1-3</t>
  </si>
  <si>
    <t>Strategic Goal 1: Increase value of ESP National to chapters.</t>
  </si>
  <si>
    <t>Visit the Poster Session</t>
  </si>
  <si>
    <t>Professional Development</t>
  </si>
  <si>
    <t>Photo</t>
  </si>
  <si>
    <t>Hall B · Day 2</t>
  </si>
  <si>
    <t>Strategic Goal 2: Excellence through professional development.</t>
  </si>
  <si>
    <t>Selfie at the Centennial Countdown Wall</t>
  </si>
  <si>
    <t>ESP Identity</t>
  </si>
  <si>
    <t>Lobby · Anytime</t>
  </si>
  <si>
    <t>ESP heritage and the path to 100 years.</t>
  </si>
  <si>
    <t>Knowledge Check: Opening Keynote</t>
  </si>
  <si>
    <t>Knowledge</t>
  </si>
  <si>
    <t>Quiz</t>
  </si>
  <si>
    <t>After Day 1 keynote</t>
  </si>
  <si>
    <t>Strategic Goal 2: Professional development.</t>
  </si>
  <si>
    <t>Introduce Yourself to Three New Chapters</t>
  </si>
  <si>
    <t>Anywhere · By end of Day 2</t>
  </si>
  <si>
    <t>Strategic Goal 1: Connect chapters across the country.</t>
  </si>
  <si>
    <t>Attend a Committee Meeting</t>
  </si>
  <si>
    <t>See conference program · Day 2</t>
  </si>
  <si>
    <t>Article I – Mission: governance through committees.</t>
  </si>
  <si>
    <t>Knowledge Check: A Scholarship I Could Apply For</t>
  </si>
  <si>
    <t>After Awards &amp; Scholarships booth</t>
  </si>
  <si>
    <t>Strategic Goal 2: Development opportunities.</t>
  </si>
  <si>
    <t>Photo with a Mentor</t>
  </si>
  <si>
    <t>Anywhere · Days 1-3</t>
  </si>
  <si>
    <t>Article XI – Creed: 'share with others the lessons of my experience.'</t>
  </si>
  <si>
    <t>Visit Your Regional Caucus</t>
  </si>
  <si>
    <t>Strategic Goal: Enhance chapter leader engagement.</t>
  </si>
  <si>
    <t>Knowledge Check: First-Timer's Session</t>
  </si>
  <si>
    <t>After the First-Timer's session, Day 1</t>
  </si>
  <si>
    <t>Article XI – Creed: fellowship and shared learning.</t>
  </si>
  <si>
    <t>Sign Up for a Committee for Next Year</t>
  </si>
  <si>
    <t>Engagement</t>
  </si>
  <si>
    <t>Membership table · Days 2-3</t>
  </si>
  <si>
    <t>Strategic Goal 1: Connect national committees to chapter units.</t>
  </si>
  <si>
    <t>Attend a Session Outside Your Discipline</t>
  </si>
  <si>
    <t>Any breakout · Days 1-3</t>
  </si>
  <si>
    <t>Strategic Goal 2: Multi-disciplinary professional development.</t>
  </si>
  <si>
    <t>Closing Banquet Attendance</t>
  </si>
  <si>
    <t>Banquet Hall · Final evening</t>
  </si>
  <si>
    <t>ESP heritage and recognition tradition.</t>
  </si>
  <si>
    <t>Reflection: What Will You Bring Home?</t>
  </si>
  <si>
    <t>Last day, after closing remarks</t>
  </si>
  <si>
    <t>Article XI – Creed: 'apply lessons learned' to my home work.</t>
  </si>
  <si>
    <t>allen-browna@missouri.edu</t>
  </si>
  <si>
    <t>Ashley Allen-Brown</t>
  </si>
  <si>
    <t>MO / Alpha Tau</t>
  </si>
  <si>
    <t>tanders4@umd.edu</t>
  </si>
  <si>
    <t>Troy Anderson</t>
  </si>
  <si>
    <t>MD / Tau</t>
  </si>
  <si>
    <t>andon@illinois.edu</t>
  </si>
  <si>
    <t>Marilu Andon</t>
  </si>
  <si>
    <t>IL / Alpha Nu</t>
  </si>
  <si>
    <t>claudia.gilarroyo@rutgers.edu</t>
  </si>
  <si>
    <t>Claudia Gil Arroyo</t>
  </si>
  <si>
    <t>NJ / Alpha Xi</t>
  </si>
  <si>
    <t>sattig@illinois.edu</t>
  </si>
  <si>
    <t>Sara Attig</t>
  </si>
  <si>
    <t>janellb@montana.edu</t>
  </si>
  <si>
    <t>Janell Barber</t>
  </si>
  <si>
    <t>MT / Alpha</t>
  </si>
  <si>
    <t>kelly.bland@uky.edu</t>
  </si>
  <si>
    <t>Kelly Bland</t>
  </si>
  <si>
    <t>KY / Alpha Kappa</t>
  </si>
  <si>
    <t>jordan.blue@wisc.edu</t>
  </si>
  <si>
    <t>Jordan Blue</t>
  </si>
  <si>
    <t>WI / Alpha Sigma</t>
  </si>
  <si>
    <t>kleissjm@illinois.edu</t>
  </si>
  <si>
    <t>Jamie Boas</t>
  </si>
  <si>
    <t>melissa.bond@uky.edu</t>
  </si>
  <si>
    <t>Melissa Bond</t>
  </si>
  <si>
    <t>maranda.brooks@uky.edu</t>
  </si>
  <si>
    <t>Maranda Brooks</t>
  </si>
  <si>
    <t>kbuckley@illinois.edu</t>
  </si>
  <si>
    <t>Katie Buckley</t>
  </si>
  <si>
    <t>linda.burgard@uky.edu</t>
  </si>
  <si>
    <t>Linda Burgard</t>
  </si>
  <si>
    <t>casey.byrd@uky.edu</t>
  </si>
  <si>
    <t>Casey Byrd</t>
  </si>
  <si>
    <t>calvertml@missouri.edu</t>
  </si>
  <si>
    <t>Maria Calvert</t>
  </si>
  <si>
    <t>kmcarey2@illinois.edu</t>
  </si>
  <si>
    <t>Kevin Carey</t>
  </si>
  <si>
    <t>srcarls2@illinois.edu</t>
  </si>
  <si>
    <t>Shelby Carlson</t>
  </si>
  <si>
    <t>carla.graham@uky.edu</t>
  </si>
  <si>
    <t>Carla Carter</t>
  </si>
  <si>
    <t>kelliec@uwyo.edu</t>
  </si>
  <si>
    <t>Kellie Chichester</t>
  </si>
  <si>
    <t>WY / Eta</t>
  </si>
  <si>
    <t>nila.cobb@mail.wvu.edu</t>
  </si>
  <si>
    <t>Nila Cobb</t>
  </si>
  <si>
    <t>WV / Phi</t>
  </si>
  <si>
    <t>corkinsc@missouri.edu</t>
  </si>
  <si>
    <t>Chelsea Corkins</t>
  </si>
  <si>
    <t>kirsten.cowan@rutgers.edu</t>
  </si>
  <si>
    <t>Kirsten Cowan</t>
  </si>
  <si>
    <t>wesley.crump@usu.edu</t>
  </si>
  <si>
    <t>Wesley Crump</t>
  </si>
  <si>
    <t>UT / Iota</t>
  </si>
  <si>
    <t>kaitlyn.davis2@wisc.edu</t>
  </si>
  <si>
    <t>Kaitlyn Davis</t>
  </si>
  <si>
    <t>celsen@missouri.edu</t>
  </si>
  <si>
    <t>Carrie Elsen</t>
  </si>
  <si>
    <t>kelsen2@unl.edu</t>
  </si>
  <si>
    <t>Kerry Elsen</t>
  </si>
  <si>
    <t>NE / Alpha Upsilon</t>
  </si>
  <si>
    <t>mfombell@illinois.edu</t>
  </si>
  <si>
    <t>Michelle Fombelle</t>
  </si>
  <si>
    <t>emgardner@mail.wvu.edu</t>
  </si>
  <si>
    <t>Emma Gardner</t>
  </si>
  <si>
    <t>dkge222@uky.edu</t>
  </si>
  <si>
    <t>Dylan Gentry</t>
  </si>
  <si>
    <t>amber.goff@mail.wvu.edu</t>
  </si>
  <si>
    <t>Amber Goff</t>
  </si>
  <si>
    <t>megan.gullett@uky.edu</t>
  </si>
  <si>
    <t>Megan Gullett</t>
  </si>
  <si>
    <t>mharman2@umd.edu</t>
  </si>
  <si>
    <t>Michelle Harman</t>
  </si>
  <si>
    <t>ebaine@illinois.edu</t>
  </si>
  <si>
    <t>Emily Harmon</t>
  </si>
  <si>
    <t>tsheath@illinois.edu</t>
  </si>
  <si>
    <t>Tara Heath</t>
  </si>
  <si>
    <t>rherrick1@unl.edu</t>
  </si>
  <si>
    <t>Rhonda Herrick</t>
  </si>
  <si>
    <t>kelly.hicks@mail.wvu.edu</t>
  </si>
  <si>
    <t>Kelly Hicks</t>
  </si>
  <si>
    <t>ehugh2@illinois.edu</t>
  </si>
  <si>
    <t>Elisha Hughes</t>
  </si>
  <si>
    <t>jacobc@purdue.edu</t>
  </si>
  <si>
    <t>Christie Jacob</t>
  </si>
  <si>
    <t>IN / Alpha Lambda</t>
  </si>
  <si>
    <t>jjacob18@uwyo.edu</t>
  </si>
  <si>
    <t>Joddee Jacobsen</t>
  </si>
  <si>
    <t>kerryk2@illinois.edu</t>
  </si>
  <si>
    <t>Kerry Keating</t>
  </si>
  <si>
    <t>marten1@illinois.edu</t>
  </si>
  <si>
    <t>Sara Marten</t>
  </si>
  <si>
    <t>jlm323@ksu.edu</t>
  </si>
  <si>
    <t>Jenny McDaniel</t>
  </si>
  <si>
    <t>KS / Alpha Rho</t>
  </si>
  <si>
    <t>smcdonal@mail.wvu.edu</t>
  </si>
  <si>
    <t>Suzanne McDonald</t>
  </si>
  <si>
    <t>tony.michael@mail.wvu.edu</t>
  </si>
  <si>
    <t>Tony Michael</t>
  </si>
  <si>
    <t>susan.miller@uky.edu</t>
  </si>
  <si>
    <t>Susan Miller</t>
  </si>
  <si>
    <t>jamie.mullins@mail.wvu.edu</t>
  </si>
  <si>
    <t>Jamie Mullins</t>
  </si>
  <si>
    <t>sgn3@msstate.edu</t>
  </si>
  <si>
    <t>Sharon Nettles</t>
  </si>
  <si>
    <t>MS / Rho</t>
  </si>
  <si>
    <t>nickrich@illinois.edu</t>
  </si>
  <si>
    <t>Shelly Nickols-Richardson</t>
  </si>
  <si>
    <t>eorwig@illinois.edu</t>
  </si>
  <si>
    <t>Erin Orwig</t>
  </si>
  <si>
    <t>josborn@missouri.edu</t>
  </si>
  <si>
    <t>Jennifer Osborn</t>
  </si>
  <si>
    <t>kmbrow8@uky.edu</t>
  </si>
  <si>
    <t>Krista Perry</t>
  </si>
  <si>
    <t>lap5981@illinois.edu</t>
  </si>
  <si>
    <t>Lisa Peterson</t>
  </si>
  <si>
    <t>jkbarr3@uky.edu</t>
  </si>
  <si>
    <t>Joni Phelps</t>
  </si>
  <si>
    <t>rikkir@uidaho.edu</t>
  </si>
  <si>
    <t>Rikki Ruiz</t>
  </si>
  <si>
    <t>ID / Theta</t>
  </si>
  <si>
    <t>amber.shanahan@wisc.edu</t>
  </si>
  <si>
    <t>Amber Shanahan</t>
  </si>
  <si>
    <t>slate187@umn.edu</t>
  </si>
  <si>
    <t>Megan Slater</t>
  </si>
  <si>
    <t>MN / Pi</t>
  </si>
  <si>
    <t>ssloop@illinois.edu</t>
  </si>
  <si>
    <t>Susan Sloop</t>
  </si>
  <si>
    <t>lrspears@nmsu.edu</t>
  </si>
  <si>
    <t>LaJoy R. Spears</t>
  </si>
  <si>
    <t>NM / Epsilon</t>
  </si>
  <si>
    <t>jds77@cornell.edu</t>
  </si>
  <si>
    <t>Jackie Spencer</t>
  </si>
  <si>
    <t>NY / Lambda</t>
  </si>
  <si>
    <t>easteele@illinois.edu</t>
  </si>
  <si>
    <t>Emily Steele</t>
  </si>
  <si>
    <t>lterry@montana.edu</t>
  </si>
  <si>
    <t>Lisa Terry</t>
  </si>
  <si>
    <t>traci.trostad@ndsu.edu</t>
  </si>
  <si>
    <t>Traci Trostad</t>
  </si>
  <si>
    <t>ND / Upsilon</t>
  </si>
  <si>
    <t>mcvann@illinois.edu</t>
  </si>
  <si>
    <t>Matthew Vann</t>
  </si>
  <si>
    <t>zlwhite@mail.wvu.edu</t>
  </si>
  <si>
    <t>Zachary White</t>
  </si>
  <si>
    <t>aawilson@vt.edu</t>
  </si>
  <si>
    <t>Amber Wilson</t>
  </si>
  <si>
    <t>VA / Alpha Gamma</t>
  </si>
  <si>
    <t>tearney.woodruff@ag.tamu.edu</t>
  </si>
  <si>
    <t>Tearney Woodruff</t>
  </si>
  <si>
    <t>TX / Alpha Zeta</t>
  </si>
  <si>
    <t>aeworkman@wisc.edu</t>
  </si>
  <si>
    <t>Amy Workman</t>
  </si>
  <si>
    <t>imported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</si>
</sst>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22"/>
      <color rgb="FF1B365D"/>
      <name val="Arial"/>
      <family val="2"/>
    </font>
    <font>
      <i/>
      <sz val="12"/>
      <color rgb="FFE87722"/>
      <name val="Arial"/>
      <family val="2"/>
    </font>
    <font>
      <b/>
      <sz val="14"/>
      <color rgb="FF1B365D"/>
      <name val="Arial"/>
      <family val="2"/>
    </font>
    <font>
      <sz val="11"/>
      <color rgb="FF303644"/>
      <name val="Arial"/>
      <family val="2"/>
    </font>
    <font>
      <b/>
      <sz val="14"/>
      <color rgb="FFE87722"/>
      <name val="Arial"/>
      <family val="2"/>
    </font>
    <font>
      <i/>
      <sz val="11"/>
      <color rgb="FF303644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909090"/>
      <name val="Arial"/>
      <family val="2"/>
    </font>
    <font>
      <b/>
      <sz val="18"/>
      <color rgb="FF1B365D"/>
      <name val="Arial"/>
      <family val="2"/>
    </font>
    <font>
      <i/>
      <sz val="10"/>
      <color rgb="FF606060"/>
      <name val="Arial"/>
      <family val="2"/>
    </font>
    <font>
      <b/>
      <sz val="10"/>
      <color rgb="FF1B365D"/>
      <name val="Arial"/>
      <family val="2"/>
    </font>
    <font>
      <sz val="11"/>
      <color rgb="FFE87722"/>
      <name val="Arial"/>
      <family val="2"/>
    </font>
    <font>
      <b/>
      <sz val="1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303644"/>
      </patternFill>
    </fill>
    <fill>
      <patternFill patternType="solid">
        <fgColor rgb="FFFAF7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1" fillId="0" borderId="0" xfId="0" applyFont="1"/>
    <xf numFmtId="0" fontId="1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12" fillId="0" borderId="0" xfId="0" applyFont="1"/>
    <xf numFmtId="0" fontId="13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vertic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0" fillId="0" borderId="0" xfId="0" applyFill="1"/>
    <xf numFmtId="0" fontId="8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>
          <bgColor rgb="FFF4DDC1"/>
        </patternFill>
      </fill>
    </dxf>
    <dxf>
      <fill>
        <patternFill>
          <bgColor rgb="FFE8E8E8"/>
        </patternFill>
      </fill>
    </dxf>
    <dxf>
      <fill>
        <patternFill>
          <bgColor rgb="FFFFE9B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7F2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B0"/>
      <rgbColor rgb="FF99CCFF"/>
      <rgbColor rgb="FFFF99CC"/>
      <rgbColor rgb="FFCC99FF"/>
      <rgbColor rgb="FFF4DDC1"/>
      <rgbColor rgb="FF3366FF"/>
      <rgbColor rgb="FF33CCCC"/>
      <rgbColor rgb="FF99CC00"/>
      <rgbColor rgb="FFFFCC00"/>
      <rgbColor rgb="FFFF9900"/>
      <rgbColor rgb="FFE87722"/>
      <rgbColor rgb="FF606060"/>
      <rgbColor rgb="FF909090"/>
      <rgbColor rgb="FF1B365D"/>
      <rgbColor rgb="FF339966"/>
      <rgbColor rgb="FF003300"/>
      <rgbColor rgb="FF333300"/>
      <rgbColor rgb="FF993300"/>
      <rgbColor rgb="FF993366"/>
      <rgbColor rgb="FF333399"/>
      <rgbColor rgb="FF3036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6"/>
  <sheetViews>
    <sheetView zoomScaleNormal="100" workbookViewId="0"/>
  </sheetViews>
  <sheetFormatPr baseColWidth="10" defaultColWidth="8.6640625" defaultRowHeight="15" x14ac:dyDescent="0.2"/>
  <cols>
    <col min="1" max="1" width="4" customWidth="1"/>
    <col min="2" max="2" width="110" customWidth="1"/>
  </cols>
  <sheetData>
    <row r="2" spans="2:2" ht="28" x14ac:dyDescent="0.3">
      <c r="B2" s="3" t="s">
        <v>0</v>
      </c>
    </row>
    <row r="3" spans="2:2" ht="16" x14ac:dyDescent="0.2">
      <c r="B3" s="4" t="s">
        <v>1</v>
      </c>
    </row>
    <row r="5" spans="2:2" ht="18" x14ac:dyDescent="0.2">
      <c r="B5" s="5" t="s">
        <v>2</v>
      </c>
    </row>
    <row r="6" spans="2:2" ht="25.5" customHeight="1" x14ac:dyDescent="0.2">
      <c r="B6" s="6" t="s">
        <v>3</v>
      </c>
    </row>
    <row r="7" spans="2:2" ht="25.5" customHeight="1" x14ac:dyDescent="0.2">
      <c r="B7" s="6" t="s">
        <v>4</v>
      </c>
    </row>
    <row r="8" spans="2:2" ht="25.5" customHeight="1" x14ac:dyDescent="0.2">
      <c r="B8" s="6" t="s">
        <v>5</v>
      </c>
    </row>
    <row r="9" spans="2:2" ht="25.5" customHeight="1" x14ac:dyDescent="0.2">
      <c r="B9" s="6" t="s">
        <v>6</v>
      </c>
    </row>
    <row r="10" spans="2:2" ht="25.5" customHeight="1" x14ac:dyDescent="0.2">
      <c r="B10" s="6" t="s">
        <v>7</v>
      </c>
    </row>
    <row r="11" spans="2:2" ht="25.5" customHeight="1" x14ac:dyDescent="0.2">
      <c r="B11" s="6" t="s">
        <v>8</v>
      </c>
    </row>
    <row r="12" spans="2:2" ht="25.5" customHeight="1" x14ac:dyDescent="0.2">
      <c r="B12" s="6" t="s">
        <v>9</v>
      </c>
    </row>
    <row r="13" spans="2:2" ht="25.5" customHeight="1" x14ac:dyDescent="0.2">
      <c r="B13" s="6" t="s">
        <v>10</v>
      </c>
    </row>
    <row r="15" spans="2:2" ht="18" x14ac:dyDescent="0.2">
      <c r="B15" s="7" t="s">
        <v>11</v>
      </c>
    </row>
    <row r="16" spans="2:2" ht="60" customHeight="1" x14ac:dyDescent="0.2">
      <c r="B16" s="8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baseColWidth="10" defaultColWidth="8.6640625" defaultRowHeight="15" x14ac:dyDescent="0.2"/>
  <cols>
    <col min="1" max="1" width="25.83203125" bestFit="1" customWidth="1"/>
    <col min="2" max="2" width="20.6640625" bestFit="1" customWidth="1"/>
    <col min="3" max="3" width="15" bestFit="1" customWidth="1"/>
    <col min="4" max="4" width="4.83203125" bestFit="1" customWidth="1"/>
    <col min="5" max="5" width="8.6640625" bestFit="1" customWidth="1"/>
    <col min="6" max="6" width="7.83203125" bestFit="1" customWidth="1"/>
    <col min="7" max="7" width="10.33203125" bestFit="1" customWidth="1"/>
  </cols>
  <sheetData>
    <row r="1" spans="1:7" x14ac:dyDescent="0.2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</row>
    <row r="2" spans="1:7" x14ac:dyDescent="0.2">
      <c r="A2" s="10" t="s">
        <v>20</v>
      </c>
      <c r="B2" s="10" t="s">
        <v>21</v>
      </c>
      <c r="C2" s="10" t="s">
        <v>22</v>
      </c>
      <c r="D2" s="21">
        <v>2</v>
      </c>
      <c r="E2" s="10"/>
      <c r="F2" s="10" t="s">
        <v>276</v>
      </c>
      <c r="G2" s="10"/>
    </row>
    <row r="3" spans="1:7" x14ac:dyDescent="0.2">
      <c r="A3" t="s">
        <v>121</v>
      </c>
      <c r="B3" t="s">
        <v>122</v>
      </c>
      <c r="C3" t="s">
        <v>123</v>
      </c>
      <c r="D3" s="22">
        <v>2</v>
      </c>
      <c r="E3" s="11"/>
      <c r="F3" s="10" t="s">
        <v>276</v>
      </c>
      <c r="G3" s="11"/>
    </row>
    <row r="4" spans="1:7" x14ac:dyDescent="0.2">
      <c r="A4" t="s">
        <v>124</v>
      </c>
      <c r="B4" t="s">
        <v>125</v>
      </c>
      <c r="C4" t="s">
        <v>126</v>
      </c>
      <c r="D4" s="22">
        <v>2</v>
      </c>
      <c r="E4" s="10"/>
      <c r="F4" s="10" t="s">
        <v>276</v>
      </c>
      <c r="G4" s="10"/>
    </row>
    <row r="5" spans="1:7" x14ac:dyDescent="0.2">
      <c r="A5" t="s">
        <v>127</v>
      </c>
      <c r="B5" t="s">
        <v>128</v>
      </c>
      <c r="C5" t="s">
        <v>129</v>
      </c>
      <c r="D5" s="22">
        <v>1</v>
      </c>
      <c r="E5" s="11"/>
      <c r="F5" s="10" t="s">
        <v>276</v>
      </c>
      <c r="G5" s="11"/>
    </row>
    <row r="6" spans="1:7" ht="15" customHeight="1" x14ac:dyDescent="0.2">
      <c r="A6" s="20" t="s">
        <v>130</v>
      </c>
      <c r="B6" t="s">
        <v>131</v>
      </c>
      <c r="C6" t="s">
        <v>132</v>
      </c>
      <c r="D6" s="22">
        <v>5</v>
      </c>
      <c r="E6" s="10"/>
      <c r="F6" s="10" t="s">
        <v>276</v>
      </c>
      <c r="G6" s="10"/>
    </row>
    <row r="7" spans="1:7" x14ac:dyDescent="0.2">
      <c r="A7" t="s">
        <v>133</v>
      </c>
      <c r="B7" t="s">
        <v>134</v>
      </c>
      <c r="C7" t="s">
        <v>129</v>
      </c>
      <c r="D7" s="22">
        <v>1</v>
      </c>
      <c r="E7" s="11"/>
      <c r="F7" s="10" t="s">
        <v>276</v>
      </c>
      <c r="G7" s="11"/>
    </row>
    <row r="8" spans="1:7" x14ac:dyDescent="0.2">
      <c r="A8" t="s">
        <v>135</v>
      </c>
      <c r="B8" t="s">
        <v>136</v>
      </c>
      <c r="C8" t="s">
        <v>137</v>
      </c>
      <c r="D8" s="22">
        <v>2</v>
      </c>
      <c r="F8" s="10" t="s">
        <v>276</v>
      </c>
    </row>
    <row r="9" spans="1:7" x14ac:dyDescent="0.2">
      <c r="A9" t="s">
        <v>138</v>
      </c>
      <c r="B9" t="s">
        <v>139</v>
      </c>
      <c r="C9" t="s">
        <v>140</v>
      </c>
      <c r="D9" s="22">
        <v>3</v>
      </c>
      <c r="F9" s="10" t="s">
        <v>276</v>
      </c>
    </row>
    <row r="10" spans="1:7" x14ac:dyDescent="0.2">
      <c r="A10" t="s">
        <v>141</v>
      </c>
      <c r="B10" t="s">
        <v>142</v>
      </c>
      <c r="C10" t="s">
        <v>143</v>
      </c>
      <c r="D10" s="22">
        <v>3</v>
      </c>
      <c r="F10" s="10" t="s">
        <v>276</v>
      </c>
    </row>
    <row r="11" spans="1:7" x14ac:dyDescent="0.2">
      <c r="A11" t="s">
        <v>144</v>
      </c>
      <c r="B11" t="s">
        <v>145</v>
      </c>
      <c r="C11" t="s">
        <v>129</v>
      </c>
      <c r="D11" s="22">
        <v>4</v>
      </c>
      <c r="F11" s="10" t="s">
        <v>276</v>
      </c>
    </row>
    <row r="12" spans="1:7" x14ac:dyDescent="0.2">
      <c r="A12" t="s">
        <v>146</v>
      </c>
      <c r="B12" t="s">
        <v>147</v>
      </c>
      <c r="C12" t="s">
        <v>140</v>
      </c>
      <c r="D12" s="22">
        <v>4</v>
      </c>
      <c r="F12" s="10" t="s">
        <v>276</v>
      </c>
    </row>
    <row r="13" spans="1:7" x14ac:dyDescent="0.2">
      <c r="A13" t="s">
        <v>148</v>
      </c>
      <c r="B13" t="s">
        <v>149</v>
      </c>
      <c r="C13" t="s">
        <v>140</v>
      </c>
      <c r="D13" s="22">
        <v>3</v>
      </c>
      <c r="F13" s="10" t="s">
        <v>276</v>
      </c>
    </row>
    <row r="14" spans="1:7" x14ac:dyDescent="0.2">
      <c r="A14" t="s">
        <v>150</v>
      </c>
      <c r="B14" t="s">
        <v>151</v>
      </c>
      <c r="C14" t="s">
        <v>129</v>
      </c>
      <c r="D14" s="22">
        <v>3</v>
      </c>
      <c r="F14" s="10" t="s">
        <v>276</v>
      </c>
    </row>
    <row r="15" spans="1:7" x14ac:dyDescent="0.2">
      <c r="A15" t="s">
        <v>152</v>
      </c>
      <c r="B15" t="s">
        <v>153</v>
      </c>
      <c r="C15" t="s">
        <v>140</v>
      </c>
      <c r="D15" s="22">
        <v>2</v>
      </c>
      <c r="F15" s="10" t="s">
        <v>276</v>
      </c>
    </row>
    <row r="16" spans="1:7" x14ac:dyDescent="0.2">
      <c r="A16" t="s">
        <v>154</v>
      </c>
      <c r="B16" t="s">
        <v>155</v>
      </c>
      <c r="C16" t="s">
        <v>140</v>
      </c>
      <c r="D16" s="22">
        <v>2</v>
      </c>
      <c r="F16" s="10" t="s">
        <v>276</v>
      </c>
    </row>
    <row r="17" spans="1:6" x14ac:dyDescent="0.2">
      <c r="A17" t="s">
        <v>156</v>
      </c>
      <c r="B17" t="s">
        <v>157</v>
      </c>
      <c r="C17" t="s">
        <v>123</v>
      </c>
      <c r="D17" s="22">
        <v>2</v>
      </c>
      <c r="F17" s="10" t="s">
        <v>276</v>
      </c>
    </row>
    <row r="18" spans="1:6" x14ac:dyDescent="0.2">
      <c r="A18" t="s">
        <v>158</v>
      </c>
      <c r="B18" t="s">
        <v>159</v>
      </c>
      <c r="C18" t="s">
        <v>129</v>
      </c>
      <c r="D18" s="22">
        <v>2</v>
      </c>
      <c r="F18" s="10" t="s">
        <v>276</v>
      </c>
    </row>
    <row r="19" spans="1:6" x14ac:dyDescent="0.2">
      <c r="A19" t="s">
        <v>160</v>
      </c>
      <c r="B19" t="s">
        <v>161</v>
      </c>
      <c r="C19" t="s">
        <v>129</v>
      </c>
      <c r="D19" s="22">
        <v>1</v>
      </c>
      <c r="F19" s="10" t="s">
        <v>276</v>
      </c>
    </row>
    <row r="20" spans="1:6" x14ac:dyDescent="0.2">
      <c r="A20" t="s">
        <v>162</v>
      </c>
      <c r="B20" t="s">
        <v>163</v>
      </c>
      <c r="C20" t="s">
        <v>140</v>
      </c>
      <c r="D20" s="22">
        <v>3</v>
      </c>
      <c r="F20" s="10" t="s">
        <v>276</v>
      </c>
    </row>
    <row r="21" spans="1:6" x14ac:dyDescent="0.2">
      <c r="A21" t="s">
        <v>164</v>
      </c>
      <c r="B21" t="s">
        <v>165</v>
      </c>
      <c r="C21" t="s">
        <v>166</v>
      </c>
      <c r="D21" s="22">
        <v>2</v>
      </c>
      <c r="F21" s="10" t="s">
        <v>276</v>
      </c>
    </row>
    <row r="22" spans="1:6" x14ac:dyDescent="0.2">
      <c r="A22" t="s">
        <v>167</v>
      </c>
      <c r="B22" t="s">
        <v>168</v>
      </c>
      <c r="C22" t="s">
        <v>169</v>
      </c>
      <c r="D22" s="22">
        <v>3</v>
      </c>
      <c r="F22" s="10" t="s">
        <v>276</v>
      </c>
    </row>
    <row r="23" spans="1:6" x14ac:dyDescent="0.2">
      <c r="A23" t="s">
        <v>170</v>
      </c>
      <c r="B23" t="s">
        <v>171</v>
      </c>
      <c r="C23" t="s">
        <v>123</v>
      </c>
      <c r="D23" s="22">
        <v>3</v>
      </c>
      <c r="F23" s="10" t="s">
        <v>276</v>
      </c>
    </row>
    <row r="24" spans="1:6" x14ac:dyDescent="0.2">
      <c r="A24" t="s">
        <v>172</v>
      </c>
      <c r="B24" t="s">
        <v>173</v>
      </c>
      <c r="C24" t="s">
        <v>132</v>
      </c>
      <c r="D24" s="22">
        <v>3</v>
      </c>
      <c r="F24" s="10" t="s">
        <v>276</v>
      </c>
    </row>
    <row r="25" spans="1:6" x14ac:dyDescent="0.2">
      <c r="A25" t="s">
        <v>174</v>
      </c>
      <c r="B25" t="s">
        <v>175</v>
      </c>
      <c r="C25" t="s">
        <v>176</v>
      </c>
      <c r="D25" s="22">
        <v>4</v>
      </c>
      <c r="F25" s="10" t="s">
        <v>276</v>
      </c>
    </row>
    <row r="26" spans="1:6" x14ac:dyDescent="0.2">
      <c r="A26" t="s">
        <v>177</v>
      </c>
      <c r="B26" t="s">
        <v>178</v>
      </c>
      <c r="C26" t="s">
        <v>143</v>
      </c>
      <c r="D26" s="22">
        <v>2</v>
      </c>
      <c r="F26" s="10" t="s">
        <v>276</v>
      </c>
    </row>
    <row r="27" spans="1:6" x14ac:dyDescent="0.2">
      <c r="A27" t="s">
        <v>179</v>
      </c>
      <c r="B27" t="s">
        <v>180</v>
      </c>
      <c r="C27" t="s">
        <v>123</v>
      </c>
      <c r="D27" s="22">
        <v>2</v>
      </c>
      <c r="F27" s="10" t="s">
        <v>276</v>
      </c>
    </row>
    <row r="28" spans="1:6" x14ac:dyDescent="0.2">
      <c r="A28" t="s">
        <v>181</v>
      </c>
      <c r="B28" t="s">
        <v>182</v>
      </c>
      <c r="C28" t="s">
        <v>183</v>
      </c>
      <c r="D28" s="22">
        <v>5</v>
      </c>
      <c r="F28" s="10" t="s">
        <v>276</v>
      </c>
    </row>
    <row r="29" spans="1:6" x14ac:dyDescent="0.2">
      <c r="A29" t="s">
        <v>184</v>
      </c>
      <c r="B29" t="s">
        <v>185</v>
      </c>
      <c r="C29" t="s">
        <v>129</v>
      </c>
      <c r="D29" s="22">
        <v>1</v>
      </c>
      <c r="F29" s="10" t="s">
        <v>276</v>
      </c>
    </row>
    <row r="30" spans="1:6" x14ac:dyDescent="0.2">
      <c r="A30" t="s">
        <v>186</v>
      </c>
      <c r="B30" t="s">
        <v>187</v>
      </c>
      <c r="C30" t="s">
        <v>169</v>
      </c>
      <c r="D30" s="22">
        <v>4</v>
      </c>
      <c r="F30" s="10" t="s">
        <v>276</v>
      </c>
    </row>
    <row r="31" spans="1:6" x14ac:dyDescent="0.2">
      <c r="A31" t="s">
        <v>188</v>
      </c>
      <c r="B31" t="s">
        <v>189</v>
      </c>
      <c r="C31" t="s">
        <v>140</v>
      </c>
      <c r="D31" s="22">
        <v>3</v>
      </c>
      <c r="F31" s="10" t="s">
        <v>276</v>
      </c>
    </row>
    <row r="32" spans="1:6" x14ac:dyDescent="0.2">
      <c r="A32" t="s">
        <v>190</v>
      </c>
      <c r="B32" t="s">
        <v>191</v>
      </c>
      <c r="C32" t="s">
        <v>169</v>
      </c>
      <c r="D32" s="22">
        <v>2</v>
      </c>
      <c r="F32" s="10" t="s">
        <v>276</v>
      </c>
    </row>
    <row r="33" spans="1:6" x14ac:dyDescent="0.2">
      <c r="A33" t="s">
        <v>192</v>
      </c>
      <c r="B33" t="s">
        <v>193</v>
      </c>
      <c r="C33" t="s">
        <v>140</v>
      </c>
      <c r="D33" s="22">
        <v>3</v>
      </c>
      <c r="F33" s="10" t="s">
        <v>276</v>
      </c>
    </row>
    <row r="34" spans="1:6" x14ac:dyDescent="0.2">
      <c r="A34" t="s">
        <v>194</v>
      </c>
      <c r="B34" t="s">
        <v>195</v>
      </c>
      <c r="C34" t="s">
        <v>126</v>
      </c>
      <c r="D34" s="22">
        <v>4</v>
      </c>
      <c r="F34" s="10" t="s">
        <v>276</v>
      </c>
    </row>
    <row r="35" spans="1:6" x14ac:dyDescent="0.2">
      <c r="A35" t="s">
        <v>196</v>
      </c>
      <c r="B35" t="s">
        <v>197</v>
      </c>
      <c r="C35" t="s">
        <v>129</v>
      </c>
      <c r="D35" s="22">
        <v>2</v>
      </c>
      <c r="F35" s="10" t="s">
        <v>276</v>
      </c>
    </row>
    <row r="36" spans="1:6" x14ac:dyDescent="0.2">
      <c r="A36" t="s">
        <v>198</v>
      </c>
      <c r="B36" t="s">
        <v>199</v>
      </c>
      <c r="C36" t="s">
        <v>129</v>
      </c>
      <c r="D36" s="22">
        <v>1</v>
      </c>
      <c r="F36" s="10" t="s">
        <v>276</v>
      </c>
    </row>
    <row r="37" spans="1:6" x14ac:dyDescent="0.2">
      <c r="A37" t="s">
        <v>200</v>
      </c>
      <c r="B37" t="s">
        <v>201</v>
      </c>
      <c r="C37" t="s">
        <v>183</v>
      </c>
      <c r="D37" s="22">
        <v>5</v>
      </c>
      <c r="F37" s="10" t="s">
        <v>276</v>
      </c>
    </row>
    <row r="38" spans="1:6" x14ac:dyDescent="0.2">
      <c r="A38" t="s">
        <v>202</v>
      </c>
      <c r="B38" t="s">
        <v>203</v>
      </c>
      <c r="C38" t="s">
        <v>169</v>
      </c>
      <c r="D38" s="22">
        <v>4</v>
      </c>
      <c r="F38" s="10" t="s">
        <v>276</v>
      </c>
    </row>
    <row r="39" spans="1:6" x14ac:dyDescent="0.2">
      <c r="A39" t="s">
        <v>204</v>
      </c>
      <c r="B39" t="s">
        <v>205</v>
      </c>
      <c r="C39" t="s">
        <v>129</v>
      </c>
      <c r="D39" s="22">
        <v>2</v>
      </c>
      <c r="F39" s="10" t="s">
        <v>276</v>
      </c>
    </row>
    <row r="40" spans="1:6" x14ac:dyDescent="0.2">
      <c r="A40" t="s">
        <v>206</v>
      </c>
      <c r="B40" t="s">
        <v>207</v>
      </c>
      <c r="C40" t="s">
        <v>208</v>
      </c>
      <c r="D40" s="22">
        <v>5</v>
      </c>
      <c r="F40" s="10" t="s">
        <v>276</v>
      </c>
    </row>
    <row r="41" spans="1:6" x14ac:dyDescent="0.2">
      <c r="A41" t="s">
        <v>209</v>
      </c>
      <c r="B41" t="s">
        <v>210</v>
      </c>
      <c r="C41" t="s">
        <v>166</v>
      </c>
      <c r="D41" s="22">
        <v>2</v>
      </c>
      <c r="F41" s="10" t="s">
        <v>276</v>
      </c>
    </row>
    <row r="42" spans="1:6" x14ac:dyDescent="0.2">
      <c r="A42" t="s">
        <v>211</v>
      </c>
      <c r="B42" t="s">
        <v>212</v>
      </c>
      <c r="C42" t="s">
        <v>129</v>
      </c>
      <c r="D42" s="22">
        <v>1</v>
      </c>
      <c r="F42" s="10" t="s">
        <v>276</v>
      </c>
    </row>
    <row r="43" spans="1:6" x14ac:dyDescent="0.2">
      <c r="A43" t="s">
        <v>213</v>
      </c>
      <c r="B43" t="s">
        <v>214</v>
      </c>
      <c r="C43" t="s">
        <v>129</v>
      </c>
      <c r="D43" s="22">
        <v>3</v>
      </c>
      <c r="F43" s="10" t="s">
        <v>276</v>
      </c>
    </row>
    <row r="44" spans="1:6" x14ac:dyDescent="0.2">
      <c r="A44" t="s">
        <v>215</v>
      </c>
      <c r="B44" t="s">
        <v>216</v>
      </c>
      <c r="C44" t="s">
        <v>217</v>
      </c>
      <c r="D44" s="22">
        <v>1</v>
      </c>
      <c r="F44" s="10" t="s">
        <v>276</v>
      </c>
    </row>
    <row r="45" spans="1:6" x14ac:dyDescent="0.2">
      <c r="A45" t="s">
        <v>218</v>
      </c>
      <c r="B45" t="s">
        <v>219</v>
      </c>
      <c r="C45" t="s">
        <v>169</v>
      </c>
      <c r="D45" s="22">
        <v>5</v>
      </c>
      <c r="F45" s="10" t="s">
        <v>276</v>
      </c>
    </row>
    <row r="46" spans="1:6" x14ac:dyDescent="0.2">
      <c r="A46" t="s">
        <v>220</v>
      </c>
      <c r="B46" t="s">
        <v>221</v>
      </c>
      <c r="C46" t="s">
        <v>169</v>
      </c>
      <c r="D46" s="22">
        <v>4</v>
      </c>
      <c r="F46" s="10" t="s">
        <v>276</v>
      </c>
    </row>
    <row r="47" spans="1:6" x14ac:dyDescent="0.2">
      <c r="A47" t="s">
        <v>222</v>
      </c>
      <c r="B47" t="s">
        <v>223</v>
      </c>
      <c r="C47" t="s">
        <v>140</v>
      </c>
      <c r="D47" s="22">
        <v>3</v>
      </c>
      <c r="F47" s="10" t="s">
        <v>276</v>
      </c>
    </row>
    <row r="48" spans="1:6" x14ac:dyDescent="0.2">
      <c r="A48" t="s">
        <v>224</v>
      </c>
      <c r="B48" t="s">
        <v>225</v>
      </c>
      <c r="C48" t="s">
        <v>169</v>
      </c>
      <c r="D48" s="22">
        <v>3</v>
      </c>
      <c r="F48" s="10" t="s">
        <v>276</v>
      </c>
    </row>
    <row r="49" spans="1:6" x14ac:dyDescent="0.2">
      <c r="A49" t="s">
        <v>226</v>
      </c>
      <c r="B49" t="s">
        <v>227</v>
      </c>
      <c r="C49" t="s">
        <v>228</v>
      </c>
      <c r="D49" s="22">
        <v>3</v>
      </c>
      <c r="F49" s="10" t="s">
        <v>276</v>
      </c>
    </row>
    <row r="50" spans="1:6" x14ac:dyDescent="0.2">
      <c r="A50" t="s">
        <v>229</v>
      </c>
      <c r="B50" t="s">
        <v>230</v>
      </c>
      <c r="C50" t="s">
        <v>129</v>
      </c>
      <c r="D50" s="22">
        <v>5</v>
      </c>
      <c r="F50" s="10" t="s">
        <v>276</v>
      </c>
    </row>
    <row r="51" spans="1:6" x14ac:dyDescent="0.2">
      <c r="A51" t="s">
        <v>231</v>
      </c>
      <c r="B51" t="s">
        <v>232</v>
      </c>
      <c r="C51" t="s">
        <v>129</v>
      </c>
      <c r="D51" s="22">
        <v>3</v>
      </c>
      <c r="F51" s="10" t="s">
        <v>276</v>
      </c>
    </row>
    <row r="52" spans="1:6" x14ac:dyDescent="0.2">
      <c r="A52" t="s">
        <v>233</v>
      </c>
      <c r="B52" t="s">
        <v>234</v>
      </c>
      <c r="C52" t="s">
        <v>123</v>
      </c>
      <c r="D52" s="22">
        <v>2</v>
      </c>
      <c r="F52" s="10" t="s">
        <v>276</v>
      </c>
    </row>
    <row r="53" spans="1:6" x14ac:dyDescent="0.2">
      <c r="A53" t="s">
        <v>235</v>
      </c>
      <c r="B53" t="s">
        <v>236</v>
      </c>
      <c r="C53" t="s">
        <v>140</v>
      </c>
      <c r="D53" s="22">
        <v>5</v>
      </c>
      <c r="F53" s="10" t="s">
        <v>276</v>
      </c>
    </row>
    <row r="54" spans="1:6" x14ac:dyDescent="0.2">
      <c r="A54" t="s">
        <v>237</v>
      </c>
      <c r="B54" t="s">
        <v>238</v>
      </c>
      <c r="C54" t="s">
        <v>129</v>
      </c>
      <c r="D54" s="22">
        <v>3</v>
      </c>
      <c r="F54" s="10" t="s">
        <v>276</v>
      </c>
    </row>
    <row r="55" spans="1:6" x14ac:dyDescent="0.2">
      <c r="A55" t="s">
        <v>239</v>
      </c>
      <c r="B55" t="s">
        <v>240</v>
      </c>
      <c r="C55" t="s">
        <v>140</v>
      </c>
      <c r="D55" s="22">
        <v>3</v>
      </c>
      <c r="F55" s="10" t="s">
        <v>276</v>
      </c>
    </row>
    <row r="56" spans="1:6" x14ac:dyDescent="0.2">
      <c r="A56" t="s">
        <v>241</v>
      </c>
      <c r="B56" t="s">
        <v>242</v>
      </c>
      <c r="C56" t="s">
        <v>243</v>
      </c>
      <c r="D56" s="22">
        <v>1</v>
      </c>
      <c r="F56" s="10" t="s">
        <v>276</v>
      </c>
    </row>
    <row r="57" spans="1:6" x14ac:dyDescent="0.2">
      <c r="A57" t="s">
        <v>244</v>
      </c>
      <c r="B57" t="s">
        <v>245</v>
      </c>
      <c r="C57" t="s">
        <v>143</v>
      </c>
      <c r="D57" s="22">
        <v>4</v>
      </c>
      <c r="F57" s="10" t="s">
        <v>276</v>
      </c>
    </row>
    <row r="58" spans="1:6" x14ac:dyDescent="0.2">
      <c r="A58" t="s">
        <v>246</v>
      </c>
      <c r="B58" t="s">
        <v>247</v>
      </c>
      <c r="C58" t="s">
        <v>248</v>
      </c>
      <c r="D58" s="22">
        <v>5</v>
      </c>
      <c r="F58" s="10" t="s">
        <v>276</v>
      </c>
    </row>
    <row r="59" spans="1:6" x14ac:dyDescent="0.2">
      <c r="A59" t="s">
        <v>249</v>
      </c>
      <c r="B59" t="s">
        <v>250</v>
      </c>
      <c r="C59" t="s">
        <v>129</v>
      </c>
      <c r="D59" s="22">
        <v>3</v>
      </c>
      <c r="F59" s="10" t="s">
        <v>276</v>
      </c>
    </row>
    <row r="60" spans="1:6" x14ac:dyDescent="0.2">
      <c r="A60" t="s">
        <v>251</v>
      </c>
      <c r="B60" t="s">
        <v>252</v>
      </c>
      <c r="C60" t="s">
        <v>253</v>
      </c>
      <c r="D60" s="22">
        <v>4</v>
      </c>
      <c r="F60" s="10" t="s">
        <v>276</v>
      </c>
    </row>
    <row r="61" spans="1:6" x14ac:dyDescent="0.2">
      <c r="A61" t="s">
        <v>254</v>
      </c>
      <c r="B61" t="s">
        <v>255</v>
      </c>
      <c r="C61" t="s">
        <v>256</v>
      </c>
      <c r="D61" s="22">
        <v>4</v>
      </c>
      <c r="F61" s="10" t="s">
        <v>276</v>
      </c>
    </row>
    <row r="62" spans="1:6" x14ac:dyDescent="0.2">
      <c r="A62" t="s">
        <v>257</v>
      </c>
      <c r="B62" t="s">
        <v>258</v>
      </c>
      <c r="C62" t="s">
        <v>129</v>
      </c>
      <c r="D62" s="22">
        <v>4</v>
      </c>
      <c r="F62" s="10" t="s">
        <v>276</v>
      </c>
    </row>
    <row r="63" spans="1:6" x14ac:dyDescent="0.2">
      <c r="A63" t="s">
        <v>259</v>
      </c>
      <c r="B63" t="s">
        <v>260</v>
      </c>
      <c r="C63" t="s">
        <v>137</v>
      </c>
      <c r="D63" s="22">
        <v>4</v>
      </c>
      <c r="F63" s="10" t="s">
        <v>276</v>
      </c>
    </row>
    <row r="64" spans="1:6" x14ac:dyDescent="0.2">
      <c r="A64" t="s">
        <v>261</v>
      </c>
      <c r="B64" t="s">
        <v>262</v>
      </c>
      <c r="C64" t="s">
        <v>263</v>
      </c>
      <c r="D64" s="22">
        <v>5</v>
      </c>
      <c r="F64" s="10" t="s">
        <v>276</v>
      </c>
    </row>
    <row r="65" spans="1:6" x14ac:dyDescent="0.2">
      <c r="A65" t="s">
        <v>264</v>
      </c>
      <c r="B65" t="s">
        <v>265</v>
      </c>
      <c r="C65" t="s">
        <v>129</v>
      </c>
      <c r="D65" s="22">
        <v>1</v>
      </c>
      <c r="F65" s="10" t="s">
        <v>276</v>
      </c>
    </row>
    <row r="66" spans="1:6" x14ac:dyDescent="0.2">
      <c r="A66" t="s">
        <v>266</v>
      </c>
      <c r="B66" t="s">
        <v>267</v>
      </c>
      <c r="C66" t="s">
        <v>169</v>
      </c>
      <c r="D66" s="22">
        <v>4</v>
      </c>
      <c r="F66" s="10" t="s">
        <v>276</v>
      </c>
    </row>
    <row r="67" spans="1:6" x14ac:dyDescent="0.2">
      <c r="A67" t="s">
        <v>268</v>
      </c>
      <c r="B67" t="s">
        <v>269</v>
      </c>
      <c r="C67" t="s">
        <v>270</v>
      </c>
      <c r="D67" s="22">
        <v>4</v>
      </c>
      <c r="F67" s="10" t="s">
        <v>276</v>
      </c>
    </row>
    <row r="68" spans="1:6" x14ac:dyDescent="0.2">
      <c r="A68" t="s">
        <v>271</v>
      </c>
      <c r="B68" t="s">
        <v>272</v>
      </c>
      <c r="C68" t="s">
        <v>273</v>
      </c>
      <c r="D68" s="22">
        <v>4</v>
      </c>
      <c r="F68" s="10" t="s">
        <v>276</v>
      </c>
    </row>
    <row r="69" spans="1:6" x14ac:dyDescent="0.2">
      <c r="A69" t="s">
        <v>274</v>
      </c>
      <c r="B69" t="s">
        <v>275</v>
      </c>
      <c r="C69" t="s">
        <v>143</v>
      </c>
      <c r="D69" s="22">
        <v>5</v>
      </c>
      <c r="F69" s="10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14" customWidth="1"/>
    <col min="4" max="4" width="22" customWidth="1"/>
    <col min="5" max="5" width="30" customWidth="1"/>
    <col min="6" max="6" width="16" customWidth="1"/>
    <col min="7" max="7" width="22" customWidth="1"/>
  </cols>
  <sheetData>
    <row r="1" spans="1:7" ht="27.75" customHeight="1" x14ac:dyDescent="0.2">
      <c r="A1" s="9" t="s">
        <v>13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</row>
    <row r="2" spans="1:7" x14ac:dyDescent="0.2">
      <c r="A2" s="12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22" customWidth="1"/>
    <col min="3" max="3" width="20" customWidth="1"/>
    <col min="4" max="4" width="7" customWidth="1"/>
    <col min="5" max="5" width="12" customWidth="1"/>
    <col min="6" max="6" width="9" customWidth="1"/>
    <col min="7" max="7" width="10" customWidth="1"/>
    <col min="8" max="9" width="22" customWidth="1"/>
    <col min="10" max="11" width="13" hidden="1" customWidth="1"/>
    <col min="12" max="12" width="14" customWidth="1"/>
  </cols>
  <sheetData>
    <row r="1" spans="1:12" ht="23" x14ac:dyDescent="0.25">
      <c r="A1" s="2" t="s">
        <v>30</v>
      </c>
      <c r="B1" s="2"/>
      <c r="C1" s="2"/>
      <c r="D1" s="2"/>
      <c r="E1" s="2"/>
      <c r="F1" s="2"/>
      <c r="G1" s="2"/>
      <c r="I1" s="5" t="s">
        <v>31</v>
      </c>
    </row>
    <row r="2" spans="1:12" x14ac:dyDescent="0.2">
      <c r="A2" s="1" t="s">
        <v>32</v>
      </c>
      <c r="B2" s="1"/>
      <c r="C2" s="1"/>
      <c r="D2" s="1"/>
      <c r="E2" s="1"/>
      <c r="F2" s="1"/>
      <c r="G2" s="1"/>
      <c r="I2" s="13" t="s">
        <v>33</v>
      </c>
      <c r="L2" s="14">
        <f>COUNTIF(A5:A504,"?*")</f>
        <v>68</v>
      </c>
    </row>
    <row r="3" spans="1:12" x14ac:dyDescent="0.2">
      <c r="I3" s="13" t="s">
        <v>34</v>
      </c>
      <c r="J3" s="15" t="s">
        <v>23</v>
      </c>
      <c r="K3" s="15" t="s">
        <v>35</v>
      </c>
      <c r="L3" s="14">
        <f>COUNTIF(E5:E504,"&gt;0")</f>
        <v>0</v>
      </c>
    </row>
    <row r="4" spans="1:12" ht="27.75" customHeight="1" x14ac:dyDescent="0.2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13" t="s">
        <v>44</v>
      </c>
      <c r="J4" t="s">
        <v>45</v>
      </c>
      <c r="K4">
        <v>3</v>
      </c>
      <c r="L4" s="14">
        <f>SUM(E5:E504)</f>
        <v>0</v>
      </c>
    </row>
    <row r="5" spans="1:12" ht="21.75" customHeight="1" x14ac:dyDescent="0.2">
      <c r="A5" s="16" t="str">
        <f>IFERROR(IF(Members!A2="","",Members!A2),"")</f>
        <v>tyrone@example.org</v>
      </c>
      <c r="B5" s="16" t="str">
        <f>IFERROR(IF(Members!A2="","",Members!B2),"")</f>
        <v>Tyrone Gentry</v>
      </c>
      <c r="C5" s="16" t="str">
        <f>IFERROR(IF(Members!A2="","",Members!C2),"")</f>
        <v>Texas Alpha</v>
      </c>
      <c r="D5" s="16">
        <f>IFERROR(IF(Members!A2="","",Members!D2),"")</f>
        <v>2</v>
      </c>
      <c r="E5" s="16">
        <f>IF(A5="","",COUNTIF(Completions!A:A,A5))</f>
        <v>0</v>
      </c>
      <c r="F5" s="16">
        <f>IF(A5="","",SUMPRODUCT((Completions!A$2:A$5000=A5)*IFERROR(VLOOKUP(Completions!B$2:B$5000,$J$4:$K$18,2,FALSE()),0)))</f>
        <v>0</v>
      </c>
      <c r="G5" s="16" t="str">
        <f t="shared" ref="G5:G68" si="0">IF(A5="","",IF(F5&gt;=20,"Gold",IF(F5&gt;=14,"Silver",IF(F5&gt;=8,"Bronze","—"))))</f>
        <v>—</v>
      </c>
      <c r="H5" s="16" t="str">
        <f ca="1">IF(A5="","",IFERROR(TEXT(_xludf.maxifs(Completions!G:G,Completions!A:A,A5),"yyyy-mm-dd hh:mm"),"—"))</f>
        <v>—</v>
      </c>
      <c r="I5" s="13" t="s">
        <v>46</v>
      </c>
      <c r="J5" t="s">
        <v>47</v>
      </c>
      <c r="K5">
        <v>3</v>
      </c>
      <c r="L5" s="14">
        <f>COUNTIF(G5:G504,"Bronze")</f>
        <v>0</v>
      </c>
    </row>
    <row r="6" spans="1:12" ht="21.75" customHeight="1" x14ac:dyDescent="0.2">
      <c r="A6" s="17" t="str">
        <f>IFERROR(IF(Members!A3="","",Members!A3),"")</f>
        <v>allen-browna@missouri.edu</v>
      </c>
      <c r="B6" s="17" t="str">
        <f>IFERROR(IF(Members!A3="","",Members!B3),"")</f>
        <v>Ashley Allen-Brown</v>
      </c>
      <c r="C6" s="17" t="str">
        <f>IFERROR(IF(Members!A3="","",Members!C3),"")</f>
        <v>MO / Alpha Tau</v>
      </c>
      <c r="D6" s="17">
        <f>IFERROR(IF(Members!A3="","",Members!D3),"")</f>
        <v>2</v>
      </c>
      <c r="E6" s="17">
        <f>IF(A6="","",COUNTIF(Completions!A:A,A6))</f>
        <v>0</v>
      </c>
      <c r="F6" s="17">
        <f>IF(A6="","",SUMPRODUCT((Completions!A$2:A$5000=A6)*IFERROR(VLOOKUP(Completions!B$2:B$5000,$J$4:$K$18,2,FALSE()),0)))</f>
        <v>0</v>
      </c>
      <c r="G6" s="17" t="str">
        <f t="shared" si="0"/>
        <v>—</v>
      </c>
      <c r="H6" s="17" t="str">
        <f ca="1">IF(A6="","",IFERROR(TEXT(_xludf.maxifs(Completions!G:G,Completions!A:A,A6),"yyyy-mm-dd hh:mm"),"—"))</f>
        <v>—</v>
      </c>
      <c r="I6" s="13" t="s">
        <v>48</v>
      </c>
      <c r="J6" t="s">
        <v>49</v>
      </c>
      <c r="K6">
        <v>2</v>
      </c>
      <c r="L6" s="14">
        <f>COUNTIF(G5:G504,"Silver")</f>
        <v>0</v>
      </c>
    </row>
    <row r="7" spans="1:12" ht="21.75" customHeight="1" x14ac:dyDescent="0.2">
      <c r="A7" s="16" t="str">
        <f>IFERROR(IF(Members!A4="","",Members!A4),"")</f>
        <v>tanders4@umd.edu</v>
      </c>
      <c r="B7" s="16" t="str">
        <f>IFERROR(IF(Members!A4="","",Members!B4),"")</f>
        <v>Troy Anderson</v>
      </c>
      <c r="C7" s="16" t="str">
        <f>IFERROR(IF(Members!A4="","",Members!C4),"")</f>
        <v>MD / Tau</v>
      </c>
      <c r="D7" s="16">
        <f>IFERROR(IF(Members!A4="","",Members!D4),"")</f>
        <v>2</v>
      </c>
      <c r="E7" s="16">
        <f>IF(A7="","",COUNTIF(Completions!A:A,A7))</f>
        <v>0</v>
      </c>
      <c r="F7" s="16">
        <f>IF(A7="","",SUMPRODUCT((Completions!A$2:A$5000=A7)*IFERROR(VLOOKUP(Completions!B$2:B$5000,$J$4:$K$18,2,FALSE()),0)))</f>
        <v>0</v>
      </c>
      <c r="G7" s="16" t="str">
        <f t="shared" si="0"/>
        <v>—</v>
      </c>
      <c r="H7" s="16" t="str">
        <f ca="1">IF(A7="","",IFERROR(TEXT(_xludf.maxifs(Completions!G:G,Completions!A:A,A7),"yyyy-mm-dd hh:mm"),"—"))</f>
        <v>—</v>
      </c>
      <c r="I7" s="13" t="s">
        <v>50</v>
      </c>
      <c r="J7" t="s">
        <v>51</v>
      </c>
      <c r="K7">
        <v>2</v>
      </c>
      <c r="L7" s="14">
        <f>COUNTIF(G5:G504,"Gold")</f>
        <v>0</v>
      </c>
    </row>
    <row r="8" spans="1:12" ht="21.75" customHeight="1" x14ac:dyDescent="0.2">
      <c r="A8" s="17" t="str">
        <f>IFERROR(IF(Members!A5="","",Members!A5),"")</f>
        <v>andon@illinois.edu</v>
      </c>
      <c r="B8" s="17" t="str">
        <f>IFERROR(IF(Members!A5="","",Members!B5),"")</f>
        <v>Marilu Andon</v>
      </c>
      <c r="C8" s="17" t="str">
        <f>IFERROR(IF(Members!A5="","",Members!C5),"")</f>
        <v>IL / Alpha Nu</v>
      </c>
      <c r="D8" s="17">
        <f>IFERROR(IF(Members!A5="","",Members!D5),"")</f>
        <v>1</v>
      </c>
      <c r="E8" s="17">
        <f>IF(A8="","",COUNTIF(Completions!A:A,A8))</f>
        <v>0</v>
      </c>
      <c r="F8" s="17">
        <f>IF(A8="","",SUMPRODUCT((Completions!A$2:A$5000=A8)*IFERROR(VLOOKUP(Completions!B$2:B$5000,$J$4:$K$18,2,FALSE()),0)))</f>
        <v>0</v>
      </c>
      <c r="G8" s="17" t="str">
        <f t="shared" si="0"/>
        <v>—</v>
      </c>
      <c r="H8" s="17" t="str">
        <f ca="1">IF(A8="","",IFERROR(TEXT(_xludf.maxifs(Completions!G:G,Completions!A:A,A8),"yyyy-mm-dd hh:mm"),"—"))</f>
        <v>—</v>
      </c>
      <c r="J8" t="s">
        <v>52</v>
      </c>
      <c r="K8">
        <v>2</v>
      </c>
    </row>
    <row r="9" spans="1:12" ht="21.75" customHeight="1" x14ac:dyDescent="0.2">
      <c r="A9" s="16" t="str">
        <f>IFERROR(IF(Members!A6="","",Members!A6),"")</f>
        <v>claudia.gilarroyo@rutgers.edu</v>
      </c>
      <c r="B9" s="16" t="str">
        <f>IFERROR(IF(Members!A6="","",Members!B6),"")</f>
        <v>Claudia Gil Arroyo</v>
      </c>
      <c r="C9" s="16" t="str">
        <f>IFERROR(IF(Members!A6="","",Members!C6),"")</f>
        <v>NJ / Alpha Xi</v>
      </c>
      <c r="D9" s="16">
        <f>IFERROR(IF(Members!A6="","",Members!D6),"")</f>
        <v>5</v>
      </c>
      <c r="E9" s="16">
        <f>IF(A9="","",COUNTIF(Completions!A:A,A9))</f>
        <v>0</v>
      </c>
      <c r="F9" s="16">
        <f>IF(A9="","",SUMPRODUCT((Completions!A$2:A$5000=A9)*IFERROR(VLOOKUP(Completions!B$2:B$5000,$J$4:$K$18,2,FALSE()),0)))</f>
        <v>0</v>
      </c>
      <c r="G9" s="16" t="str">
        <f t="shared" si="0"/>
        <v>—</v>
      </c>
      <c r="H9" s="16" t="str">
        <f ca="1">IF(A9="","",IFERROR(TEXT(_xludf.maxifs(Completions!G:G,Completions!A:A,A9),"yyyy-mm-dd hh:mm"),"—"))</f>
        <v>—</v>
      </c>
      <c r="J9" t="s">
        <v>53</v>
      </c>
      <c r="K9">
        <v>4</v>
      </c>
    </row>
    <row r="10" spans="1:12" ht="21.75" customHeight="1" x14ac:dyDescent="0.2">
      <c r="A10" s="17" t="str">
        <f>IFERROR(IF(Members!A7="","",Members!A7),"")</f>
        <v>sattig@illinois.edu</v>
      </c>
      <c r="B10" s="17" t="str">
        <f>IFERROR(IF(Members!A7="","",Members!B7),"")</f>
        <v>Sara Attig</v>
      </c>
      <c r="C10" s="17" t="str">
        <f>IFERROR(IF(Members!A7="","",Members!C7),"")</f>
        <v>IL / Alpha Nu</v>
      </c>
      <c r="D10" s="17">
        <f>IFERROR(IF(Members!A7="","",Members!D7),"")</f>
        <v>1</v>
      </c>
      <c r="E10" s="17">
        <f>IF(A10="","",COUNTIF(Completions!A:A,A10))</f>
        <v>0</v>
      </c>
      <c r="F10" s="17">
        <f>IF(A10="","",SUMPRODUCT((Completions!A$2:A$5000=A10)*IFERROR(VLOOKUP(Completions!B$2:B$5000,$J$4:$K$18,2,FALSE()),0)))</f>
        <v>0</v>
      </c>
      <c r="G10" s="17" t="str">
        <f t="shared" si="0"/>
        <v>—</v>
      </c>
      <c r="H10" s="17" t="str">
        <f ca="1">IF(A10="","",IFERROR(TEXT(_xludf.maxifs(Completions!G:G,Completions!A:A,A10),"yyyy-mm-dd hh:mm"),"—"))</f>
        <v>—</v>
      </c>
      <c r="J10" t="s">
        <v>54</v>
      </c>
      <c r="K10">
        <v>3</v>
      </c>
    </row>
    <row r="11" spans="1:12" ht="21.75" customHeight="1" x14ac:dyDescent="0.2">
      <c r="A11" s="16" t="str">
        <f>IFERROR(IF(Members!A8="","",Members!A8),"")</f>
        <v>janellb@montana.edu</v>
      </c>
      <c r="B11" s="16" t="str">
        <f>IFERROR(IF(Members!A8="","",Members!B8),"")</f>
        <v>Janell Barber</v>
      </c>
      <c r="C11" s="16" t="str">
        <f>IFERROR(IF(Members!A8="","",Members!C8),"")</f>
        <v>MT / Alpha</v>
      </c>
      <c r="D11" s="16">
        <f>IFERROR(IF(Members!A8="","",Members!D8),"")</f>
        <v>2</v>
      </c>
      <c r="E11" s="16">
        <f>IF(A11="","",COUNTIF(Completions!A:A,A11))</f>
        <v>0</v>
      </c>
      <c r="F11" s="16">
        <f>IF(A11="","",SUMPRODUCT((Completions!A$2:A$5000=A11)*IFERROR(VLOOKUP(Completions!B$2:B$5000,$J$4:$K$18,2,FALSE()),0)))</f>
        <v>0</v>
      </c>
      <c r="G11" s="16" t="str">
        <f t="shared" si="0"/>
        <v>—</v>
      </c>
      <c r="H11" s="16" t="str">
        <f ca="1">IF(A11="","",IFERROR(TEXT(_xludf.maxifs(Completions!G:G,Completions!A:A,A11),"yyyy-mm-dd hh:mm"),"—"))</f>
        <v>—</v>
      </c>
      <c r="J11" t="s">
        <v>55</v>
      </c>
      <c r="K11">
        <v>3</v>
      </c>
    </row>
    <row r="12" spans="1:12" ht="21.75" customHeight="1" x14ac:dyDescent="0.2">
      <c r="A12" s="17" t="str">
        <f>IFERROR(IF(Members!A9="","",Members!A9),"")</f>
        <v>kelly.bland@uky.edu</v>
      </c>
      <c r="B12" s="17" t="str">
        <f>IFERROR(IF(Members!A9="","",Members!B9),"")</f>
        <v>Kelly Bland</v>
      </c>
      <c r="C12" s="17" t="str">
        <f>IFERROR(IF(Members!A9="","",Members!C9),"")</f>
        <v>KY / Alpha Kappa</v>
      </c>
      <c r="D12" s="17">
        <f>IFERROR(IF(Members!A9="","",Members!D9),"")</f>
        <v>3</v>
      </c>
      <c r="E12" s="17">
        <f>IF(A12="","",COUNTIF(Completions!A:A,A12))</f>
        <v>0</v>
      </c>
      <c r="F12" s="17">
        <f>IF(A12="","",SUMPRODUCT((Completions!A$2:A$5000=A12)*IFERROR(VLOOKUP(Completions!B$2:B$5000,$J$4:$K$18,2,FALSE()),0)))</f>
        <v>0</v>
      </c>
      <c r="G12" s="17" t="str">
        <f t="shared" si="0"/>
        <v>—</v>
      </c>
      <c r="H12" s="17" t="str">
        <f ca="1">IF(A12="","",IFERROR(TEXT(_xludf.maxifs(Completions!G:G,Completions!A:A,A12),"yyyy-mm-dd hh:mm"),"—"))</f>
        <v>—</v>
      </c>
      <c r="J12" t="s">
        <v>56</v>
      </c>
      <c r="K12">
        <v>3</v>
      </c>
    </row>
    <row r="13" spans="1:12" ht="21.75" customHeight="1" x14ac:dyDescent="0.2">
      <c r="A13" s="16" t="str">
        <f>IFERROR(IF(Members!A10="","",Members!A10),"")</f>
        <v>jordan.blue@wisc.edu</v>
      </c>
      <c r="B13" s="16" t="str">
        <f>IFERROR(IF(Members!A10="","",Members!B10),"")</f>
        <v>Jordan Blue</v>
      </c>
      <c r="C13" s="16" t="str">
        <f>IFERROR(IF(Members!A10="","",Members!C10),"")</f>
        <v>WI / Alpha Sigma</v>
      </c>
      <c r="D13" s="16">
        <f>IFERROR(IF(Members!A10="","",Members!D10),"")</f>
        <v>3</v>
      </c>
      <c r="E13" s="16">
        <f>IF(A13="","",COUNTIF(Completions!A:A,A13))</f>
        <v>0</v>
      </c>
      <c r="F13" s="16">
        <f>IF(A13="","",SUMPRODUCT((Completions!A$2:A$5000=A13)*IFERROR(VLOOKUP(Completions!B$2:B$5000,$J$4:$K$18,2,FALSE()),0)))</f>
        <v>0</v>
      </c>
      <c r="G13" s="16" t="str">
        <f t="shared" si="0"/>
        <v>—</v>
      </c>
      <c r="H13" s="16" t="str">
        <f ca="1">IF(A13="","",IFERROR(TEXT(_xludf.maxifs(Completions!G:G,Completions!A:A,A13),"yyyy-mm-dd hh:mm"),"—"))</f>
        <v>—</v>
      </c>
      <c r="J13" t="s">
        <v>57</v>
      </c>
      <c r="K13">
        <v>2</v>
      </c>
    </row>
    <row r="14" spans="1:12" ht="21.75" customHeight="1" x14ac:dyDescent="0.2">
      <c r="A14" s="17" t="str">
        <f>IFERROR(IF(Members!A11="","",Members!A11),"")</f>
        <v>kleissjm@illinois.edu</v>
      </c>
      <c r="B14" s="17" t="str">
        <f>IFERROR(IF(Members!A11="","",Members!B11),"")</f>
        <v>Jamie Boas</v>
      </c>
      <c r="C14" s="17" t="str">
        <f>IFERROR(IF(Members!A11="","",Members!C11),"")</f>
        <v>IL / Alpha Nu</v>
      </c>
      <c r="D14" s="17">
        <f>IFERROR(IF(Members!A11="","",Members!D11),"")</f>
        <v>4</v>
      </c>
      <c r="E14" s="17">
        <f>IF(A14="","",COUNTIF(Completions!A:A,A14))</f>
        <v>0</v>
      </c>
      <c r="F14" s="17">
        <f>IF(A14="","",SUMPRODUCT((Completions!A$2:A$5000=A14)*IFERROR(VLOOKUP(Completions!B$2:B$5000,$J$4:$K$18,2,FALSE()),0)))</f>
        <v>0</v>
      </c>
      <c r="G14" s="17" t="str">
        <f t="shared" si="0"/>
        <v>—</v>
      </c>
      <c r="H14" s="17" t="str">
        <f ca="1">IF(A14="","",IFERROR(TEXT(_xludf.maxifs(Completions!G:G,Completions!A:A,A14),"yyyy-mm-dd hh:mm"),"—"))</f>
        <v>—</v>
      </c>
      <c r="J14" t="s">
        <v>58</v>
      </c>
      <c r="K14">
        <v>2</v>
      </c>
    </row>
    <row r="15" spans="1:12" ht="21.75" customHeight="1" x14ac:dyDescent="0.2">
      <c r="A15" s="16" t="str">
        <f>IFERROR(IF(Members!A12="","",Members!A12),"")</f>
        <v>melissa.bond@uky.edu</v>
      </c>
      <c r="B15" s="16" t="str">
        <f>IFERROR(IF(Members!A12="","",Members!B12),"")</f>
        <v>Melissa Bond</v>
      </c>
      <c r="C15" s="16" t="str">
        <f>IFERROR(IF(Members!A12="","",Members!C12),"")</f>
        <v>KY / Alpha Kappa</v>
      </c>
      <c r="D15" s="16">
        <f>IFERROR(IF(Members!A12="","",Members!D12),"")</f>
        <v>4</v>
      </c>
      <c r="E15" s="16">
        <f>IF(A15="","",COUNTIF(Completions!A:A,A15))</f>
        <v>0</v>
      </c>
      <c r="F15" s="16">
        <f>IF(A15="","",SUMPRODUCT((Completions!A$2:A$5000=A15)*IFERROR(VLOOKUP(Completions!B$2:B$5000,$J$4:$K$18,2,FALSE()),0)))</f>
        <v>0</v>
      </c>
      <c r="G15" s="16" t="str">
        <f t="shared" si="0"/>
        <v>—</v>
      </c>
      <c r="H15" s="16" t="str">
        <f ca="1">IF(A15="","",IFERROR(TEXT(_xludf.maxifs(Completions!G:G,Completions!A:A,A15),"yyyy-mm-dd hh:mm"),"—"))</f>
        <v>—</v>
      </c>
      <c r="J15" t="s">
        <v>59</v>
      </c>
      <c r="K15">
        <v>4</v>
      </c>
    </row>
    <row r="16" spans="1:12" ht="21.75" customHeight="1" x14ac:dyDescent="0.2">
      <c r="A16" s="17" t="str">
        <f>IFERROR(IF(Members!A13="","",Members!A13),"")</f>
        <v>maranda.brooks@uky.edu</v>
      </c>
      <c r="B16" s="17" t="str">
        <f>IFERROR(IF(Members!A13="","",Members!B13),"")</f>
        <v>Maranda Brooks</v>
      </c>
      <c r="C16" s="17" t="str">
        <f>IFERROR(IF(Members!A13="","",Members!C13),"")</f>
        <v>KY / Alpha Kappa</v>
      </c>
      <c r="D16" s="17">
        <f>IFERROR(IF(Members!A13="","",Members!D13),"")</f>
        <v>3</v>
      </c>
      <c r="E16" s="17">
        <f>IF(A16="","",COUNTIF(Completions!A:A,A16))</f>
        <v>0</v>
      </c>
      <c r="F16" s="17">
        <f>IF(A16="","",SUMPRODUCT((Completions!A$2:A$5000=A16)*IFERROR(VLOOKUP(Completions!B$2:B$5000,$J$4:$K$18,2,FALSE()),0)))</f>
        <v>0</v>
      </c>
      <c r="G16" s="17" t="str">
        <f t="shared" si="0"/>
        <v>—</v>
      </c>
      <c r="H16" s="17" t="str">
        <f ca="1">IF(A16="","",IFERROR(TEXT(_xludf.maxifs(Completions!G:G,Completions!A:A,A16),"yyyy-mm-dd hh:mm"),"—"))</f>
        <v>—</v>
      </c>
      <c r="J16" t="s">
        <v>60</v>
      </c>
      <c r="K16">
        <v>2</v>
      </c>
    </row>
    <row r="17" spans="1:11" ht="21.75" customHeight="1" x14ac:dyDescent="0.2">
      <c r="A17" s="16" t="str">
        <f>IFERROR(IF(Members!A14="","",Members!A14),"")</f>
        <v>kbuckley@illinois.edu</v>
      </c>
      <c r="B17" s="16" t="str">
        <f>IFERROR(IF(Members!A14="","",Members!B14),"")</f>
        <v>Katie Buckley</v>
      </c>
      <c r="C17" s="16" t="str">
        <f>IFERROR(IF(Members!A14="","",Members!C14),"")</f>
        <v>IL / Alpha Nu</v>
      </c>
      <c r="D17" s="16">
        <f>IFERROR(IF(Members!A14="","",Members!D14),"")</f>
        <v>3</v>
      </c>
      <c r="E17" s="16">
        <f>IF(A17="","",COUNTIF(Completions!A:A,A17))</f>
        <v>0</v>
      </c>
      <c r="F17" s="16">
        <f>IF(A17="","",SUMPRODUCT((Completions!A$2:A$5000=A17)*IFERROR(VLOOKUP(Completions!B$2:B$5000,$J$4:$K$18,2,FALSE()),0)))</f>
        <v>0</v>
      </c>
      <c r="G17" s="16" t="str">
        <f t="shared" si="0"/>
        <v>—</v>
      </c>
      <c r="H17" s="16" t="str">
        <f ca="1">IF(A17="","",IFERROR(TEXT(_xludf.maxifs(Completions!G:G,Completions!A:A,A17),"yyyy-mm-dd hh:mm"),"—"))</f>
        <v>—</v>
      </c>
      <c r="J17" t="s">
        <v>61</v>
      </c>
      <c r="K17">
        <v>3</v>
      </c>
    </row>
    <row r="18" spans="1:11" ht="21.75" customHeight="1" x14ac:dyDescent="0.2">
      <c r="A18" s="17" t="str">
        <f>IFERROR(IF(Members!A15="","",Members!A15),"")</f>
        <v>linda.burgard@uky.edu</v>
      </c>
      <c r="B18" s="17" t="str">
        <f>IFERROR(IF(Members!A15="","",Members!B15),"")</f>
        <v>Linda Burgard</v>
      </c>
      <c r="C18" s="17" t="str">
        <f>IFERROR(IF(Members!A15="","",Members!C15),"")</f>
        <v>KY / Alpha Kappa</v>
      </c>
      <c r="D18" s="17">
        <f>IFERROR(IF(Members!A15="","",Members!D15),"")</f>
        <v>2</v>
      </c>
      <c r="E18" s="17">
        <f>IF(A18="","",COUNTIF(Completions!A:A,A18))</f>
        <v>0</v>
      </c>
      <c r="F18" s="17">
        <f>IF(A18="","",SUMPRODUCT((Completions!A$2:A$5000=A18)*IFERROR(VLOOKUP(Completions!B$2:B$5000,$J$4:$K$18,2,FALSE()),0)))</f>
        <v>0</v>
      </c>
      <c r="G18" s="17" t="str">
        <f t="shared" si="0"/>
        <v>—</v>
      </c>
      <c r="H18" s="17" t="str">
        <f ca="1">IF(A18="","",IFERROR(TEXT(_xludf.maxifs(Completions!G:G,Completions!A:A,A18),"yyyy-mm-dd hh:mm"),"—"))</f>
        <v>—</v>
      </c>
      <c r="J18" t="s">
        <v>62</v>
      </c>
      <c r="K18">
        <v>2</v>
      </c>
    </row>
    <row r="19" spans="1:11" ht="21.75" customHeight="1" x14ac:dyDescent="0.2">
      <c r="A19" s="16" t="str">
        <f>IFERROR(IF(Members!A16="","",Members!A16),"")</f>
        <v>casey.byrd@uky.edu</v>
      </c>
      <c r="B19" s="16" t="str">
        <f>IFERROR(IF(Members!A16="","",Members!B16),"")</f>
        <v>Casey Byrd</v>
      </c>
      <c r="C19" s="16" t="str">
        <f>IFERROR(IF(Members!A16="","",Members!C16),"")</f>
        <v>KY / Alpha Kappa</v>
      </c>
      <c r="D19" s="16">
        <f>IFERROR(IF(Members!A16="","",Members!D16),"")</f>
        <v>2</v>
      </c>
      <c r="E19" s="16">
        <f>IF(A19="","",COUNTIF(Completions!A:A,A19))</f>
        <v>0</v>
      </c>
      <c r="F19" s="16">
        <f>IF(A19="","",SUMPRODUCT((Completions!A$2:A$5000=A19)*IFERROR(VLOOKUP(Completions!B$2:B$5000,$J$4:$K$18,2,FALSE()),0)))</f>
        <v>0</v>
      </c>
      <c r="G19" s="16" t="str">
        <f t="shared" si="0"/>
        <v>—</v>
      </c>
      <c r="H19" s="16" t="str">
        <f ca="1">IF(A19="","",IFERROR(TEXT(_xludf.maxifs(Completions!G:G,Completions!A:A,A19),"yyyy-mm-dd hh:mm"),"—"))</f>
        <v>—</v>
      </c>
    </row>
    <row r="20" spans="1:11" ht="21.75" customHeight="1" x14ac:dyDescent="0.2">
      <c r="A20" s="17" t="str">
        <f>IFERROR(IF(Members!A17="","",Members!A17),"")</f>
        <v>calvertml@missouri.edu</v>
      </c>
      <c r="B20" s="17" t="str">
        <f>IFERROR(IF(Members!A17="","",Members!B17),"")</f>
        <v>Maria Calvert</v>
      </c>
      <c r="C20" s="17" t="str">
        <f>IFERROR(IF(Members!A17="","",Members!C17),"")</f>
        <v>MO / Alpha Tau</v>
      </c>
      <c r="D20" s="17">
        <f>IFERROR(IF(Members!A17="","",Members!D17),"")</f>
        <v>2</v>
      </c>
      <c r="E20" s="17">
        <f>IF(A20="","",COUNTIF(Completions!A:A,A20))</f>
        <v>0</v>
      </c>
      <c r="F20" s="17">
        <f>IF(A20="","",SUMPRODUCT((Completions!A$2:A$5000=A20)*IFERROR(VLOOKUP(Completions!B$2:B$5000,$J$4:$K$18,2,FALSE()),0)))</f>
        <v>0</v>
      </c>
      <c r="G20" s="17" t="str">
        <f t="shared" si="0"/>
        <v>—</v>
      </c>
      <c r="H20" s="17" t="str">
        <f ca="1">IF(A20="","",IFERROR(TEXT(_xludf.maxifs(Completions!G:G,Completions!A:A,A20),"yyyy-mm-dd hh:mm"),"—"))</f>
        <v>—</v>
      </c>
    </row>
    <row r="21" spans="1:11" ht="21.75" customHeight="1" x14ac:dyDescent="0.2">
      <c r="A21" s="16" t="str">
        <f>IFERROR(IF(Members!A18="","",Members!A18),"")</f>
        <v>kmcarey2@illinois.edu</v>
      </c>
      <c r="B21" s="16" t="str">
        <f>IFERROR(IF(Members!A18="","",Members!B18),"")</f>
        <v>Kevin Carey</v>
      </c>
      <c r="C21" s="16" t="str">
        <f>IFERROR(IF(Members!A18="","",Members!C18),"")</f>
        <v>IL / Alpha Nu</v>
      </c>
      <c r="D21" s="16">
        <f>IFERROR(IF(Members!A18="","",Members!D18),"")</f>
        <v>2</v>
      </c>
      <c r="E21" s="16">
        <f>IF(A21="","",COUNTIF(Completions!A:A,A21))</f>
        <v>0</v>
      </c>
      <c r="F21" s="16">
        <f>IF(A21="","",SUMPRODUCT((Completions!A$2:A$5000=A21)*IFERROR(VLOOKUP(Completions!B$2:B$5000,$J$4:$K$18,2,FALSE()),0)))</f>
        <v>0</v>
      </c>
      <c r="G21" s="16" t="str">
        <f t="shared" si="0"/>
        <v>—</v>
      </c>
      <c r="H21" s="16" t="str">
        <f ca="1">IF(A21="","",IFERROR(TEXT(_xludf.maxifs(Completions!G:G,Completions!A:A,A21),"yyyy-mm-dd hh:mm"),"—"))</f>
        <v>—</v>
      </c>
    </row>
    <row r="22" spans="1:11" ht="21.75" customHeight="1" x14ac:dyDescent="0.2">
      <c r="A22" s="17" t="str">
        <f>IFERROR(IF(Members!A19="","",Members!A19),"")</f>
        <v>srcarls2@illinois.edu</v>
      </c>
      <c r="B22" s="17" t="str">
        <f>IFERROR(IF(Members!A19="","",Members!B19),"")</f>
        <v>Shelby Carlson</v>
      </c>
      <c r="C22" s="17" t="str">
        <f>IFERROR(IF(Members!A19="","",Members!C19),"")</f>
        <v>IL / Alpha Nu</v>
      </c>
      <c r="D22" s="17">
        <f>IFERROR(IF(Members!A19="","",Members!D19),"")</f>
        <v>1</v>
      </c>
      <c r="E22" s="17">
        <f>IF(A22="","",COUNTIF(Completions!A:A,A22))</f>
        <v>0</v>
      </c>
      <c r="F22" s="17">
        <f>IF(A22="","",SUMPRODUCT((Completions!A$2:A$5000=A22)*IFERROR(VLOOKUP(Completions!B$2:B$5000,$J$4:$K$18,2,FALSE()),0)))</f>
        <v>0</v>
      </c>
      <c r="G22" s="17" t="str">
        <f t="shared" si="0"/>
        <v>—</v>
      </c>
      <c r="H22" s="17" t="str">
        <f ca="1">IF(A22="","",IFERROR(TEXT(_xludf.maxifs(Completions!G:G,Completions!A:A,A22),"yyyy-mm-dd hh:mm"),"—"))</f>
        <v>—</v>
      </c>
    </row>
    <row r="23" spans="1:11" ht="21.75" customHeight="1" x14ac:dyDescent="0.2">
      <c r="A23" s="16" t="str">
        <f>IFERROR(IF(Members!A20="","",Members!A20),"")</f>
        <v>carla.graham@uky.edu</v>
      </c>
      <c r="B23" s="16" t="str">
        <f>IFERROR(IF(Members!A20="","",Members!B20),"")</f>
        <v>Carla Carter</v>
      </c>
      <c r="C23" s="16" t="str">
        <f>IFERROR(IF(Members!A20="","",Members!C20),"")</f>
        <v>KY / Alpha Kappa</v>
      </c>
      <c r="D23" s="16">
        <f>IFERROR(IF(Members!A20="","",Members!D20),"")</f>
        <v>3</v>
      </c>
      <c r="E23" s="16">
        <f>IF(A23="","",COUNTIF(Completions!A:A,A23))</f>
        <v>0</v>
      </c>
      <c r="F23" s="16">
        <f>IF(A23="","",SUMPRODUCT((Completions!A$2:A$5000=A23)*IFERROR(VLOOKUP(Completions!B$2:B$5000,$J$4:$K$18,2,FALSE()),0)))</f>
        <v>0</v>
      </c>
      <c r="G23" s="16" t="str">
        <f t="shared" si="0"/>
        <v>—</v>
      </c>
      <c r="H23" s="16" t="str">
        <f ca="1">IF(A23="","",IFERROR(TEXT(_xludf.maxifs(Completions!G:G,Completions!A:A,A23),"yyyy-mm-dd hh:mm"),"—"))</f>
        <v>—</v>
      </c>
    </row>
    <row r="24" spans="1:11" ht="21.75" customHeight="1" x14ac:dyDescent="0.2">
      <c r="A24" s="17" t="str">
        <f>IFERROR(IF(Members!A21="","",Members!A21),"")</f>
        <v>kelliec@uwyo.edu</v>
      </c>
      <c r="B24" s="17" t="str">
        <f>IFERROR(IF(Members!A21="","",Members!B21),"")</f>
        <v>Kellie Chichester</v>
      </c>
      <c r="C24" s="17" t="str">
        <f>IFERROR(IF(Members!A21="","",Members!C21),"")</f>
        <v>WY / Eta</v>
      </c>
      <c r="D24" s="17">
        <f>IFERROR(IF(Members!A21="","",Members!D21),"")</f>
        <v>2</v>
      </c>
      <c r="E24" s="17">
        <f>IF(A24="","",COUNTIF(Completions!A:A,A24))</f>
        <v>0</v>
      </c>
      <c r="F24" s="17">
        <f>IF(A24="","",SUMPRODUCT((Completions!A$2:A$5000=A24)*IFERROR(VLOOKUP(Completions!B$2:B$5000,$J$4:$K$18,2,FALSE()),0)))</f>
        <v>0</v>
      </c>
      <c r="G24" s="17" t="str">
        <f t="shared" si="0"/>
        <v>—</v>
      </c>
      <c r="H24" s="17" t="str">
        <f ca="1">IF(A24="","",IFERROR(TEXT(_xludf.maxifs(Completions!G:G,Completions!A:A,A24),"yyyy-mm-dd hh:mm"),"—"))</f>
        <v>—</v>
      </c>
    </row>
    <row r="25" spans="1:11" ht="21.75" customHeight="1" x14ac:dyDescent="0.2">
      <c r="A25" s="16" t="str">
        <f>IFERROR(IF(Members!A22="","",Members!A22),"")</f>
        <v>nila.cobb@mail.wvu.edu</v>
      </c>
      <c r="B25" s="16" t="str">
        <f>IFERROR(IF(Members!A22="","",Members!B22),"")</f>
        <v>Nila Cobb</v>
      </c>
      <c r="C25" s="16" t="str">
        <f>IFERROR(IF(Members!A22="","",Members!C22),"")</f>
        <v>WV / Phi</v>
      </c>
      <c r="D25" s="16">
        <f>IFERROR(IF(Members!A22="","",Members!D22),"")</f>
        <v>3</v>
      </c>
      <c r="E25" s="16">
        <f>IF(A25="","",COUNTIF(Completions!A:A,A25))</f>
        <v>0</v>
      </c>
      <c r="F25" s="16">
        <f>IF(A25="","",SUMPRODUCT((Completions!A$2:A$5000=A25)*IFERROR(VLOOKUP(Completions!B$2:B$5000,$J$4:$K$18,2,FALSE()),0)))</f>
        <v>0</v>
      </c>
      <c r="G25" s="16" t="str">
        <f t="shared" si="0"/>
        <v>—</v>
      </c>
      <c r="H25" s="16" t="str">
        <f ca="1">IF(A25="","",IFERROR(TEXT(_xludf.maxifs(Completions!G:G,Completions!A:A,A25),"yyyy-mm-dd hh:mm"),"—"))</f>
        <v>—</v>
      </c>
    </row>
    <row r="26" spans="1:11" ht="21.75" customHeight="1" x14ac:dyDescent="0.2">
      <c r="A26" s="17" t="str">
        <f>IFERROR(IF(Members!A23="","",Members!A23),"")</f>
        <v>corkinsc@missouri.edu</v>
      </c>
      <c r="B26" s="17" t="str">
        <f>IFERROR(IF(Members!A23="","",Members!B23),"")</f>
        <v>Chelsea Corkins</v>
      </c>
      <c r="C26" s="17" t="str">
        <f>IFERROR(IF(Members!A23="","",Members!C23),"")</f>
        <v>MO / Alpha Tau</v>
      </c>
      <c r="D26" s="17">
        <f>IFERROR(IF(Members!A23="","",Members!D23),"")</f>
        <v>3</v>
      </c>
      <c r="E26" s="17">
        <f>IF(A26="","",COUNTIF(Completions!A:A,A26))</f>
        <v>0</v>
      </c>
      <c r="F26" s="17">
        <f>IF(A26="","",SUMPRODUCT((Completions!A$2:A$5000=A26)*IFERROR(VLOOKUP(Completions!B$2:B$5000,$J$4:$K$18,2,FALSE()),0)))</f>
        <v>0</v>
      </c>
      <c r="G26" s="17" t="str">
        <f t="shared" si="0"/>
        <v>—</v>
      </c>
      <c r="H26" s="17" t="str">
        <f ca="1">IF(A26="","",IFERROR(TEXT(_xludf.maxifs(Completions!G:G,Completions!A:A,A26),"yyyy-mm-dd hh:mm"),"—"))</f>
        <v>—</v>
      </c>
    </row>
    <row r="27" spans="1:11" ht="21.75" customHeight="1" x14ac:dyDescent="0.2">
      <c r="A27" s="16" t="str">
        <f>IFERROR(IF(Members!A24="","",Members!A24),"")</f>
        <v>kirsten.cowan@rutgers.edu</v>
      </c>
      <c r="B27" s="16" t="str">
        <f>IFERROR(IF(Members!A24="","",Members!B24),"")</f>
        <v>Kirsten Cowan</v>
      </c>
      <c r="C27" s="16" t="str">
        <f>IFERROR(IF(Members!A24="","",Members!C24),"")</f>
        <v>NJ / Alpha Xi</v>
      </c>
      <c r="D27" s="16">
        <f>IFERROR(IF(Members!A24="","",Members!D24),"")</f>
        <v>3</v>
      </c>
      <c r="E27" s="16">
        <f>IF(A27="","",COUNTIF(Completions!A:A,A27))</f>
        <v>0</v>
      </c>
      <c r="F27" s="16">
        <f>IF(A27="","",SUMPRODUCT((Completions!A$2:A$5000=A27)*IFERROR(VLOOKUP(Completions!B$2:B$5000,$J$4:$K$18,2,FALSE()),0)))</f>
        <v>0</v>
      </c>
      <c r="G27" s="16" t="str">
        <f t="shared" si="0"/>
        <v>—</v>
      </c>
      <c r="H27" s="16" t="str">
        <f ca="1">IF(A27="","",IFERROR(TEXT(_xludf.maxifs(Completions!G:G,Completions!A:A,A27),"yyyy-mm-dd hh:mm"),"—"))</f>
        <v>—</v>
      </c>
    </row>
    <row r="28" spans="1:11" ht="21.75" customHeight="1" x14ac:dyDescent="0.2">
      <c r="A28" s="17" t="str">
        <f>IFERROR(IF(Members!A25="","",Members!A25),"")</f>
        <v>wesley.crump@usu.edu</v>
      </c>
      <c r="B28" s="17" t="str">
        <f>IFERROR(IF(Members!A25="","",Members!B25),"")</f>
        <v>Wesley Crump</v>
      </c>
      <c r="C28" s="17" t="str">
        <f>IFERROR(IF(Members!A25="","",Members!C25),"")</f>
        <v>UT / Iota</v>
      </c>
      <c r="D28" s="17">
        <f>IFERROR(IF(Members!A25="","",Members!D25),"")</f>
        <v>4</v>
      </c>
      <c r="E28" s="17">
        <f>IF(A28="","",COUNTIF(Completions!A:A,A28))</f>
        <v>0</v>
      </c>
      <c r="F28" s="17">
        <f>IF(A28="","",SUMPRODUCT((Completions!A$2:A$5000=A28)*IFERROR(VLOOKUP(Completions!B$2:B$5000,$J$4:$K$18,2,FALSE()),0)))</f>
        <v>0</v>
      </c>
      <c r="G28" s="17" t="str">
        <f t="shared" si="0"/>
        <v>—</v>
      </c>
      <c r="H28" s="17" t="str">
        <f ca="1">IF(A28="","",IFERROR(TEXT(_xludf.maxifs(Completions!G:G,Completions!A:A,A28),"yyyy-mm-dd hh:mm"),"—"))</f>
        <v>—</v>
      </c>
    </row>
    <row r="29" spans="1:11" ht="21.75" customHeight="1" x14ac:dyDescent="0.2">
      <c r="A29" s="16" t="str">
        <f>IFERROR(IF(Members!A26="","",Members!A26),"")</f>
        <v>kaitlyn.davis2@wisc.edu</v>
      </c>
      <c r="B29" s="16" t="str">
        <f>IFERROR(IF(Members!A26="","",Members!B26),"")</f>
        <v>Kaitlyn Davis</v>
      </c>
      <c r="C29" s="16" t="str">
        <f>IFERROR(IF(Members!A26="","",Members!C26),"")</f>
        <v>WI / Alpha Sigma</v>
      </c>
      <c r="D29" s="16">
        <f>IFERROR(IF(Members!A26="","",Members!D26),"")</f>
        <v>2</v>
      </c>
      <c r="E29" s="16">
        <f>IF(A29="","",COUNTIF(Completions!A:A,A29))</f>
        <v>0</v>
      </c>
      <c r="F29" s="16">
        <f>IF(A29="","",SUMPRODUCT((Completions!A$2:A$5000=A29)*IFERROR(VLOOKUP(Completions!B$2:B$5000,$J$4:$K$18,2,FALSE()),0)))</f>
        <v>0</v>
      </c>
      <c r="G29" s="16" t="str">
        <f t="shared" si="0"/>
        <v>—</v>
      </c>
      <c r="H29" s="16" t="str">
        <f ca="1">IF(A29="","",IFERROR(TEXT(_xludf.maxifs(Completions!G:G,Completions!A:A,A29),"yyyy-mm-dd hh:mm"),"—"))</f>
        <v>—</v>
      </c>
    </row>
    <row r="30" spans="1:11" ht="21.75" customHeight="1" x14ac:dyDescent="0.2">
      <c r="A30" s="17" t="str">
        <f>IFERROR(IF(Members!A27="","",Members!A27),"")</f>
        <v>celsen@missouri.edu</v>
      </c>
      <c r="B30" s="17" t="str">
        <f>IFERROR(IF(Members!A27="","",Members!B27),"")</f>
        <v>Carrie Elsen</v>
      </c>
      <c r="C30" s="17" t="str">
        <f>IFERROR(IF(Members!A27="","",Members!C27),"")</f>
        <v>MO / Alpha Tau</v>
      </c>
      <c r="D30" s="17">
        <f>IFERROR(IF(Members!A27="","",Members!D27),"")</f>
        <v>2</v>
      </c>
      <c r="E30" s="17">
        <f>IF(A30="","",COUNTIF(Completions!A:A,A30))</f>
        <v>0</v>
      </c>
      <c r="F30" s="17">
        <f>IF(A30="","",SUMPRODUCT((Completions!A$2:A$5000=A30)*IFERROR(VLOOKUP(Completions!B$2:B$5000,$J$4:$K$18,2,FALSE()),0)))</f>
        <v>0</v>
      </c>
      <c r="G30" s="17" t="str">
        <f t="shared" si="0"/>
        <v>—</v>
      </c>
      <c r="H30" s="17" t="str">
        <f ca="1">IF(A30="","",IFERROR(TEXT(_xludf.maxifs(Completions!G:G,Completions!A:A,A30),"yyyy-mm-dd hh:mm"),"—"))</f>
        <v>—</v>
      </c>
    </row>
    <row r="31" spans="1:11" ht="21.75" customHeight="1" x14ac:dyDescent="0.2">
      <c r="A31" s="16" t="str">
        <f>IFERROR(IF(Members!A28="","",Members!A28),"")</f>
        <v>kelsen2@unl.edu</v>
      </c>
      <c r="B31" s="16" t="str">
        <f>IFERROR(IF(Members!A28="","",Members!B28),"")</f>
        <v>Kerry Elsen</v>
      </c>
      <c r="C31" s="16" t="str">
        <f>IFERROR(IF(Members!A28="","",Members!C28),"")</f>
        <v>NE / Alpha Upsilon</v>
      </c>
      <c r="D31" s="16">
        <f>IFERROR(IF(Members!A28="","",Members!D28),"")</f>
        <v>5</v>
      </c>
      <c r="E31" s="16">
        <f>IF(A31="","",COUNTIF(Completions!A:A,A31))</f>
        <v>0</v>
      </c>
      <c r="F31" s="16">
        <f>IF(A31="","",SUMPRODUCT((Completions!A$2:A$5000=A31)*IFERROR(VLOOKUP(Completions!B$2:B$5000,$J$4:$K$18,2,FALSE()),0)))</f>
        <v>0</v>
      </c>
      <c r="G31" s="16" t="str">
        <f t="shared" si="0"/>
        <v>—</v>
      </c>
      <c r="H31" s="16" t="str">
        <f ca="1">IF(A31="","",IFERROR(TEXT(_xludf.maxifs(Completions!G:G,Completions!A:A,A31),"yyyy-mm-dd hh:mm"),"—"))</f>
        <v>—</v>
      </c>
    </row>
    <row r="32" spans="1:11" ht="21.75" customHeight="1" x14ac:dyDescent="0.2">
      <c r="A32" s="17" t="str">
        <f>IFERROR(IF(Members!A29="","",Members!A29),"")</f>
        <v>mfombell@illinois.edu</v>
      </c>
      <c r="B32" s="17" t="str">
        <f>IFERROR(IF(Members!A29="","",Members!B29),"")</f>
        <v>Michelle Fombelle</v>
      </c>
      <c r="C32" s="17" t="str">
        <f>IFERROR(IF(Members!A29="","",Members!C29),"")</f>
        <v>IL / Alpha Nu</v>
      </c>
      <c r="D32" s="17">
        <f>IFERROR(IF(Members!A29="","",Members!D29),"")</f>
        <v>1</v>
      </c>
      <c r="E32" s="17">
        <f>IF(A32="","",COUNTIF(Completions!A:A,A32))</f>
        <v>0</v>
      </c>
      <c r="F32" s="17">
        <f>IF(A32="","",SUMPRODUCT((Completions!A$2:A$5000=A32)*IFERROR(VLOOKUP(Completions!B$2:B$5000,$J$4:$K$18,2,FALSE()),0)))</f>
        <v>0</v>
      </c>
      <c r="G32" s="17" t="str">
        <f t="shared" si="0"/>
        <v>—</v>
      </c>
      <c r="H32" s="17" t="str">
        <f ca="1">IF(A32="","",IFERROR(TEXT(_xludf.maxifs(Completions!G:G,Completions!A:A,A32),"yyyy-mm-dd hh:mm"),"—"))</f>
        <v>—</v>
      </c>
    </row>
    <row r="33" spans="1:8" ht="21.75" customHeight="1" x14ac:dyDescent="0.2">
      <c r="A33" s="16" t="str">
        <f>IFERROR(IF(Members!A30="","",Members!A30),"")</f>
        <v>emgardner@mail.wvu.edu</v>
      </c>
      <c r="B33" s="16" t="str">
        <f>IFERROR(IF(Members!A30="","",Members!B30),"")</f>
        <v>Emma Gardner</v>
      </c>
      <c r="C33" s="16" t="str">
        <f>IFERROR(IF(Members!A30="","",Members!C30),"")</f>
        <v>WV / Phi</v>
      </c>
      <c r="D33" s="16">
        <f>IFERROR(IF(Members!A30="","",Members!D30),"")</f>
        <v>4</v>
      </c>
      <c r="E33" s="16">
        <f>IF(A33="","",COUNTIF(Completions!A:A,A33))</f>
        <v>0</v>
      </c>
      <c r="F33" s="16">
        <f>IF(A33="","",SUMPRODUCT((Completions!A$2:A$5000=A33)*IFERROR(VLOOKUP(Completions!B$2:B$5000,$J$4:$K$18,2,FALSE()),0)))</f>
        <v>0</v>
      </c>
      <c r="G33" s="16" t="str">
        <f t="shared" si="0"/>
        <v>—</v>
      </c>
      <c r="H33" s="16" t="str">
        <f ca="1">IF(A33="","",IFERROR(TEXT(_xludf.maxifs(Completions!G:G,Completions!A:A,A33),"yyyy-mm-dd hh:mm"),"—"))</f>
        <v>—</v>
      </c>
    </row>
    <row r="34" spans="1:8" ht="21.75" customHeight="1" x14ac:dyDescent="0.2">
      <c r="A34" s="17" t="str">
        <f>IFERROR(IF(Members!A31="","",Members!A31),"")</f>
        <v>dkge222@uky.edu</v>
      </c>
      <c r="B34" s="17" t="str">
        <f>IFERROR(IF(Members!A31="","",Members!B31),"")</f>
        <v>Dylan Gentry</v>
      </c>
      <c r="C34" s="17" t="str">
        <f>IFERROR(IF(Members!A31="","",Members!C31),"")</f>
        <v>KY / Alpha Kappa</v>
      </c>
      <c r="D34" s="17">
        <f>IFERROR(IF(Members!A31="","",Members!D31),"")</f>
        <v>3</v>
      </c>
      <c r="E34" s="17">
        <f>IF(A34="","",COUNTIF(Completions!A:A,A34))</f>
        <v>0</v>
      </c>
      <c r="F34" s="17">
        <f>IF(A34="","",SUMPRODUCT((Completions!A$2:A$5000=A34)*IFERROR(VLOOKUP(Completions!B$2:B$5000,$J$4:$K$18,2,FALSE()),0)))</f>
        <v>0</v>
      </c>
      <c r="G34" s="17" t="str">
        <f t="shared" si="0"/>
        <v>—</v>
      </c>
      <c r="H34" s="17" t="str">
        <f ca="1">IF(A34="","",IFERROR(TEXT(_xludf.maxifs(Completions!G:G,Completions!A:A,A34),"yyyy-mm-dd hh:mm"),"—"))</f>
        <v>—</v>
      </c>
    </row>
    <row r="35" spans="1:8" ht="21.75" customHeight="1" x14ac:dyDescent="0.2">
      <c r="A35" s="16" t="str">
        <f>IFERROR(IF(Members!A32="","",Members!A32),"")</f>
        <v>amber.goff@mail.wvu.edu</v>
      </c>
      <c r="B35" s="16" t="str">
        <f>IFERROR(IF(Members!A32="","",Members!B32),"")</f>
        <v>Amber Goff</v>
      </c>
      <c r="C35" s="16" t="str">
        <f>IFERROR(IF(Members!A32="","",Members!C32),"")</f>
        <v>WV / Phi</v>
      </c>
      <c r="D35" s="16">
        <f>IFERROR(IF(Members!A32="","",Members!D32),"")</f>
        <v>2</v>
      </c>
      <c r="E35" s="16">
        <f>IF(A35="","",COUNTIF(Completions!A:A,A35))</f>
        <v>0</v>
      </c>
      <c r="F35" s="16">
        <f>IF(A35="","",SUMPRODUCT((Completions!A$2:A$5000=A35)*IFERROR(VLOOKUP(Completions!B$2:B$5000,$J$4:$K$18,2,FALSE()),0)))</f>
        <v>0</v>
      </c>
      <c r="G35" s="16" t="str">
        <f t="shared" si="0"/>
        <v>—</v>
      </c>
      <c r="H35" s="16" t="str">
        <f ca="1">IF(A35="","",IFERROR(TEXT(_xludf.maxifs(Completions!G:G,Completions!A:A,A35),"yyyy-mm-dd hh:mm"),"—"))</f>
        <v>—</v>
      </c>
    </row>
    <row r="36" spans="1:8" ht="21.75" customHeight="1" x14ac:dyDescent="0.2">
      <c r="A36" s="17" t="str">
        <f>IFERROR(IF(Members!A33="","",Members!A33),"")</f>
        <v>megan.gullett@uky.edu</v>
      </c>
      <c r="B36" s="17" t="str">
        <f>IFERROR(IF(Members!A33="","",Members!B33),"")</f>
        <v>Megan Gullett</v>
      </c>
      <c r="C36" s="17" t="str">
        <f>IFERROR(IF(Members!A33="","",Members!C33),"")</f>
        <v>KY / Alpha Kappa</v>
      </c>
      <c r="D36" s="17">
        <f>IFERROR(IF(Members!A33="","",Members!D33),"")</f>
        <v>3</v>
      </c>
      <c r="E36" s="17">
        <f>IF(A36="","",COUNTIF(Completions!A:A,A36))</f>
        <v>0</v>
      </c>
      <c r="F36" s="17">
        <f>IF(A36="","",SUMPRODUCT((Completions!A$2:A$5000=A36)*IFERROR(VLOOKUP(Completions!B$2:B$5000,$J$4:$K$18,2,FALSE()),0)))</f>
        <v>0</v>
      </c>
      <c r="G36" s="17" t="str">
        <f t="shared" si="0"/>
        <v>—</v>
      </c>
      <c r="H36" s="17" t="str">
        <f ca="1">IF(A36="","",IFERROR(TEXT(_xludf.maxifs(Completions!G:G,Completions!A:A,A36),"yyyy-mm-dd hh:mm"),"—"))</f>
        <v>—</v>
      </c>
    </row>
    <row r="37" spans="1:8" ht="21.75" customHeight="1" x14ac:dyDescent="0.2">
      <c r="A37" s="16" t="str">
        <f>IFERROR(IF(Members!A34="","",Members!A34),"")</f>
        <v>mharman2@umd.edu</v>
      </c>
      <c r="B37" s="16" t="str">
        <f>IFERROR(IF(Members!A34="","",Members!B34),"")</f>
        <v>Michelle Harman</v>
      </c>
      <c r="C37" s="16" t="str">
        <f>IFERROR(IF(Members!A34="","",Members!C34),"")</f>
        <v>MD / Tau</v>
      </c>
      <c r="D37" s="16">
        <f>IFERROR(IF(Members!A34="","",Members!D34),"")</f>
        <v>4</v>
      </c>
      <c r="E37" s="16">
        <f>IF(A37="","",COUNTIF(Completions!A:A,A37))</f>
        <v>0</v>
      </c>
      <c r="F37" s="16">
        <f>IF(A37="","",SUMPRODUCT((Completions!A$2:A$5000=A37)*IFERROR(VLOOKUP(Completions!B$2:B$5000,$J$4:$K$18,2,FALSE()),0)))</f>
        <v>0</v>
      </c>
      <c r="G37" s="16" t="str">
        <f t="shared" si="0"/>
        <v>—</v>
      </c>
      <c r="H37" s="16" t="str">
        <f ca="1">IF(A37="","",IFERROR(TEXT(_xludf.maxifs(Completions!G:G,Completions!A:A,A37),"yyyy-mm-dd hh:mm"),"—"))</f>
        <v>—</v>
      </c>
    </row>
    <row r="38" spans="1:8" ht="21.75" customHeight="1" x14ac:dyDescent="0.2">
      <c r="A38" s="17" t="str">
        <f>IFERROR(IF(Members!A35="","",Members!A35),"")</f>
        <v>ebaine@illinois.edu</v>
      </c>
      <c r="B38" s="17" t="str">
        <f>IFERROR(IF(Members!A35="","",Members!B35),"")</f>
        <v>Emily Harmon</v>
      </c>
      <c r="C38" s="17" t="str">
        <f>IFERROR(IF(Members!A35="","",Members!C35),"")</f>
        <v>IL / Alpha Nu</v>
      </c>
      <c r="D38" s="17">
        <f>IFERROR(IF(Members!A35="","",Members!D35),"")</f>
        <v>2</v>
      </c>
      <c r="E38" s="17">
        <f>IF(A38="","",COUNTIF(Completions!A:A,A38))</f>
        <v>0</v>
      </c>
      <c r="F38" s="17">
        <f>IF(A38="","",SUMPRODUCT((Completions!A$2:A$5000=A38)*IFERROR(VLOOKUP(Completions!B$2:B$5000,$J$4:$K$18,2,FALSE()),0)))</f>
        <v>0</v>
      </c>
      <c r="G38" s="17" t="str">
        <f t="shared" si="0"/>
        <v>—</v>
      </c>
      <c r="H38" s="17" t="str">
        <f ca="1">IF(A38="","",IFERROR(TEXT(_xludf.maxifs(Completions!G:G,Completions!A:A,A38),"yyyy-mm-dd hh:mm"),"—"))</f>
        <v>—</v>
      </c>
    </row>
    <row r="39" spans="1:8" ht="21.75" customHeight="1" x14ac:dyDescent="0.2">
      <c r="A39" s="16" t="str">
        <f>IFERROR(IF(Members!A36="","",Members!A36),"")</f>
        <v>tsheath@illinois.edu</v>
      </c>
      <c r="B39" s="16" t="str">
        <f>IFERROR(IF(Members!A36="","",Members!B36),"")</f>
        <v>Tara Heath</v>
      </c>
      <c r="C39" s="16" t="str">
        <f>IFERROR(IF(Members!A36="","",Members!C36),"")</f>
        <v>IL / Alpha Nu</v>
      </c>
      <c r="D39" s="16">
        <f>IFERROR(IF(Members!A36="","",Members!D36),"")</f>
        <v>1</v>
      </c>
      <c r="E39" s="16">
        <f>IF(A39="","",COUNTIF(Completions!A:A,A39))</f>
        <v>0</v>
      </c>
      <c r="F39" s="16">
        <f>IF(A39="","",SUMPRODUCT((Completions!A$2:A$5000=A39)*IFERROR(VLOOKUP(Completions!B$2:B$5000,$J$4:$K$18,2,FALSE()),0)))</f>
        <v>0</v>
      </c>
      <c r="G39" s="16" t="str">
        <f t="shared" si="0"/>
        <v>—</v>
      </c>
      <c r="H39" s="16" t="str">
        <f ca="1">IF(A39="","",IFERROR(TEXT(_xludf.maxifs(Completions!G:G,Completions!A:A,A39),"yyyy-mm-dd hh:mm"),"—"))</f>
        <v>—</v>
      </c>
    </row>
    <row r="40" spans="1:8" ht="21.75" customHeight="1" x14ac:dyDescent="0.2">
      <c r="A40" s="17" t="str">
        <f>IFERROR(IF(Members!A37="","",Members!A37),"")</f>
        <v>rherrick1@unl.edu</v>
      </c>
      <c r="B40" s="17" t="str">
        <f>IFERROR(IF(Members!A37="","",Members!B37),"")</f>
        <v>Rhonda Herrick</v>
      </c>
      <c r="C40" s="17" t="str">
        <f>IFERROR(IF(Members!A37="","",Members!C37),"")</f>
        <v>NE / Alpha Upsilon</v>
      </c>
      <c r="D40" s="17">
        <f>IFERROR(IF(Members!A37="","",Members!D37),"")</f>
        <v>5</v>
      </c>
      <c r="E40" s="17">
        <f>IF(A40="","",COUNTIF(Completions!A:A,A40))</f>
        <v>0</v>
      </c>
      <c r="F40" s="17">
        <f>IF(A40="","",SUMPRODUCT((Completions!A$2:A$5000=A40)*IFERROR(VLOOKUP(Completions!B$2:B$5000,$J$4:$K$18,2,FALSE()),0)))</f>
        <v>0</v>
      </c>
      <c r="G40" s="17" t="str">
        <f t="shared" si="0"/>
        <v>—</v>
      </c>
      <c r="H40" s="17" t="str">
        <f ca="1">IF(A40="","",IFERROR(TEXT(_xludf.maxifs(Completions!G:G,Completions!A:A,A40),"yyyy-mm-dd hh:mm"),"—"))</f>
        <v>—</v>
      </c>
    </row>
    <row r="41" spans="1:8" ht="21.75" customHeight="1" x14ac:dyDescent="0.2">
      <c r="A41" s="16" t="str">
        <f>IFERROR(IF(Members!A38="","",Members!A38),"")</f>
        <v>kelly.hicks@mail.wvu.edu</v>
      </c>
      <c r="B41" s="16" t="str">
        <f>IFERROR(IF(Members!A38="","",Members!B38),"")</f>
        <v>Kelly Hicks</v>
      </c>
      <c r="C41" s="16" t="str">
        <f>IFERROR(IF(Members!A38="","",Members!C38),"")</f>
        <v>WV / Phi</v>
      </c>
      <c r="D41" s="16">
        <f>IFERROR(IF(Members!A38="","",Members!D38),"")</f>
        <v>4</v>
      </c>
      <c r="E41" s="16">
        <f>IF(A41="","",COUNTIF(Completions!A:A,A41))</f>
        <v>0</v>
      </c>
      <c r="F41" s="16">
        <f>IF(A41="","",SUMPRODUCT((Completions!A$2:A$5000=A41)*IFERROR(VLOOKUP(Completions!B$2:B$5000,$J$4:$K$18,2,FALSE()),0)))</f>
        <v>0</v>
      </c>
      <c r="G41" s="16" t="str">
        <f t="shared" si="0"/>
        <v>—</v>
      </c>
      <c r="H41" s="16" t="str">
        <f ca="1">IF(A41="","",IFERROR(TEXT(_xludf.maxifs(Completions!G:G,Completions!A:A,A41),"yyyy-mm-dd hh:mm"),"—"))</f>
        <v>—</v>
      </c>
    </row>
    <row r="42" spans="1:8" ht="21.75" customHeight="1" x14ac:dyDescent="0.2">
      <c r="A42" s="17" t="str">
        <f>IFERROR(IF(Members!A39="","",Members!A39),"")</f>
        <v>ehugh2@illinois.edu</v>
      </c>
      <c r="B42" s="17" t="str">
        <f>IFERROR(IF(Members!A39="","",Members!B39),"")</f>
        <v>Elisha Hughes</v>
      </c>
      <c r="C42" s="17" t="str">
        <f>IFERROR(IF(Members!A39="","",Members!C39),"")</f>
        <v>IL / Alpha Nu</v>
      </c>
      <c r="D42" s="17">
        <f>IFERROR(IF(Members!A39="","",Members!D39),"")</f>
        <v>2</v>
      </c>
      <c r="E42" s="17">
        <f>IF(A42="","",COUNTIF(Completions!A:A,A42))</f>
        <v>0</v>
      </c>
      <c r="F42" s="17">
        <f>IF(A42="","",SUMPRODUCT((Completions!A$2:A$5000=A42)*IFERROR(VLOOKUP(Completions!B$2:B$5000,$J$4:$K$18,2,FALSE()),0)))</f>
        <v>0</v>
      </c>
      <c r="G42" s="17" t="str">
        <f t="shared" si="0"/>
        <v>—</v>
      </c>
      <c r="H42" s="17" t="str">
        <f ca="1">IF(A42="","",IFERROR(TEXT(_xludf.maxifs(Completions!G:G,Completions!A:A,A42),"yyyy-mm-dd hh:mm"),"—"))</f>
        <v>—</v>
      </c>
    </row>
    <row r="43" spans="1:8" ht="21.75" customHeight="1" x14ac:dyDescent="0.2">
      <c r="A43" s="16" t="str">
        <f>IFERROR(IF(Members!A40="","",Members!A40),"")</f>
        <v>jacobc@purdue.edu</v>
      </c>
      <c r="B43" s="16" t="str">
        <f>IFERROR(IF(Members!A40="","",Members!B40),"")</f>
        <v>Christie Jacob</v>
      </c>
      <c r="C43" s="16" t="str">
        <f>IFERROR(IF(Members!A40="","",Members!C40),"")</f>
        <v>IN / Alpha Lambda</v>
      </c>
      <c r="D43" s="16">
        <f>IFERROR(IF(Members!A40="","",Members!D40),"")</f>
        <v>5</v>
      </c>
      <c r="E43" s="16">
        <f>IF(A43="","",COUNTIF(Completions!A:A,A43))</f>
        <v>0</v>
      </c>
      <c r="F43" s="16">
        <f>IF(A43="","",SUMPRODUCT((Completions!A$2:A$5000=A43)*IFERROR(VLOOKUP(Completions!B$2:B$5000,$J$4:$K$18,2,FALSE()),0)))</f>
        <v>0</v>
      </c>
      <c r="G43" s="16" t="str">
        <f t="shared" si="0"/>
        <v>—</v>
      </c>
      <c r="H43" s="16" t="str">
        <f ca="1">IF(A43="","",IFERROR(TEXT(_xludf.maxifs(Completions!G:G,Completions!A:A,A43),"yyyy-mm-dd hh:mm"),"—"))</f>
        <v>—</v>
      </c>
    </row>
    <row r="44" spans="1:8" ht="21.75" customHeight="1" x14ac:dyDescent="0.2">
      <c r="A44" s="17" t="str">
        <f>IFERROR(IF(Members!A41="","",Members!A41),"")</f>
        <v>jjacob18@uwyo.edu</v>
      </c>
      <c r="B44" s="17" t="str">
        <f>IFERROR(IF(Members!A41="","",Members!B41),"")</f>
        <v>Joddee Jacobsen</v>
      </c>
      <c r="C44" s="17" t="str">
        <f>IFERROR(IF(Members!A41="","",Members!C41),"")</f>
        <v>WY / Eta</v>
      </c>
      <c r="D44" s="17">
        <f>IFERROR(IF(Members!A41="","",Members!D41),"")</f>
        <v>2</v>
      </c>
      <c r="E44" s="17">
        <f>IF(A44="","",COUNTIF(Completions!A:A,A44))</f>
        <v>0</v>
      </c>
      <c r="F44" s="17">
        <f>IF(A44="","",SUMPRODUCT((Completions!A$2:A$5000=A44)*IFERROR(VLOOKUP(Completions!B$2:B$5000,$J$4:$K$18,2,FALSE()),0)))</f>
        <v>0</v>
      </c>
      <c r="G44" s="17" t="str">
        <f t="shared" si="0"/>
        <v>—</v>
      </c>
      <c r="H44" s="17" t="str">
        <f ca="1">IF(A44="","",IFERROR(TEXT(_xludf.maxifs(Completions!G:G,Completions!A:A,A44),"yyyy-mm-dd hh:mm"),"—"))</f>
        <v>—</v>
      </c>
    </row>
    <row r="45" spans="1:8" ht="21.75" customHeight="1" x14ac:dyDescent="0.2">
      <c r="A45" s="16" t="str">
        <f>IFERROR(IF(Members!A42="","",Members!A42),"")</f>
        <v>kerryk2@illinois.edu</v>
      </c>
      <c r="B45" s="16" t="str">
        <f>IFERROR(IF(Members!A42="","",Members!B42),"")</f>
        <v>Kerry Keating</v>
      </c>
      <c r="C45" s="16" t="str">
        <f>IFERROR(IF(Members!A42="","",Members!C42),"")</f>
        <v>IL / Alpha Nu</v>
      </c>
      <c r="D45" s="16">
        <f>IFERROR(IF(Members!A42="","",Members!D42),"")</f>
        <v>1</v>
      </c>
      <c r="E45" s="16">
        <f>IF(A45="","",COUNTIF(Completions!A:A,A45))</f>
        <v>0</v>
      </c>
      <c r="F45" s="16">
        <f>IF(A45="","",SUMPRODUCT((Completions!A$2:A$5000=A45)*IFERROR(VLOOKUP(Completions!B$2:B$5000,$J$4:$K$18,2,FALSE()),0)))</f>
        <v>0</v>
      </c>
      <c r="G45" s="16" t="str">
        <f t="shared" si="0"/>
        <v>—</v>
      </c>
      <c r="H45" s="16" t="str">
        <f ca="1">IF(A45="","",IFERROR(TEXT(_xludf.maxifs(Completions!G:G,Completions!A:A,A45),"yyyy-mm-dd hh:mm"),"—"))</f>
        <v>—</v>
      </c>
    </row>
    <row r="46" spans="1:8" ht="21.75" customHeight="1" x14ac:dyDescent="0.2">
      <c r="A46" s="17" t="str">
        <f>IFERROR(IF(Members!A43="","",Members!A43),"")</f>
        <v>marten1@illinois.edu</v>
      </c>
      <c r="B46" s="17" t="str">
        <f>IFERROR(IF(Members!A43="","",Members!B43),"")</f>
        <v>Sara Marten</v>
      </c>
      <c r="C46" s="17" t="str">
        <f>IFERROR(IF(Members!A43="","",Members!C43),"")</f>
        <v>IL / Alpha Nu</v>
      </c>
      <c r="D46" s="17">
        <f>IFERROR(IF(Members!A43="","",Members!D43),"")</f>
        <v>3</v>
      </c>
      <c r="E46" s="17">
        <f>IF(A46="","",COUNTIF(Completions!A:A,A46))</f>
        <v>0</v>
      </c>
      <c r="F46" s="17">
        <f>IF(A46="","",SUMPRODUCT((Completions!A$2:A$5000=A46)*IFERROR(VLOOKUP(Completions!B$2:B$5000,$J$4:$K$18,2,FALSE()),0)))</f>
        <v>0</v>
      </c>
      <c r="G46" s="17" t="str">
        <f t="shared" si="0"/>
        <v>—</v>
      </c>
      <c r="H46" s="17" t="str">
        <f ca="1">IF(A46="","",IFERROR(TEXT(_xludf.maxifs(Completions!G:G,Completions!A:A,A46),"yyyy-mm-dd hh:mm"),"—"))</f>
        <v>—</v>
      </c>
    </row>
    <row r="47" spans="1:8" ht="21.75" customHeight="1" x14ac:dyDescent="0.2">
      <c r="A47" s="16" t="str">
        <f>IFERROR(IF(Members!A44="","",Members!A44),"")</f>
        <v>jlm323@ksu.edu</v>
      </c>
      <c r="B47" s="16" t="str">
        <f>IFERROR(IF(Members!A44="","",Members!B44),"")</f>
        <v>Jenny McDaniel</v>
      </c>
      <c r="C47" s="16" t="str">
        <f>IFERROR(IF(Members!A44="","",Members!C44),"")</f>
        <v>KS / Alpha Rho</v>
      </c>
      <c r="D47" s="16">
        <f>IFERROR(IF(Members!A44="","",Members!D44),"")</f>
        <v>1</v>
      </c>
      <c r="E47" s="16">
        <f>IF(A47="","",COUNTIF(Completions!A:A,A47))</f>
        <v>0</v>
      </c>
      <c r="F47" s="16">
        <f>IF(A47="","",SUMPRODUCT((Completions!A$2:A$5000=A47)*IFERROR(VLOOKUP(Completions!B$2:B$5000,$J$4:$K$18,2,FALSE()),0)))</f>
        <v>0</v>
      </c>
      <c r="G47" s="16" t="str">
        <f t="shared" si="0"/>
        <v>—</v>
      </c>
      <c r="H47" s="16" t="str">
        <f ca="1">IF(A47="","",IFERROR(TEXT(_xludf.maxifs(Completions!G:G,Completions!A:A,A47),"yyyy-mm-dd hh:mm"),"—"))</f>
        <v>—</v>
      </c>
    </row>
    <row r="48" spans="1:8" ht="21.75" customHeight="1" x14ac:dyDescent="0.2">
      <c r="A48" s="17" t="str">
        <f>IFERROR(IF(Members!A45="","",Members!A45),"")</f>
        <v>smcdonal@mail.wvu.edu</v>
      </c>
      <c r="B48" s="17" t="str">
        <f>IFERROR(IF(Members!A45="","",Members!B45),"")</f>
        <v>Suzanne McDonald</v>
      </c>
      <c r="C48" s="17" t="str">
        <f>IFERROR(IF(Members!A45="","",Members!C45),"")</f>
        <v>WV / Phi</v>
      </c>
      <c r="D48" s="17">
        <f>IFERROR(IF(Members!A45="","",Members!D45),"")</f>
        <v>5</v>
      </c>
      <c r="E48" s="17">
        <f>IF(A48="","",COUNTIF(Completions!A:A,A48))</f>
        <v>0</v>
      </c>
      <c r="F48" s="17">
        <f>IF(A48="","",SUMPRODUCT((Completions!A$2:A$5000=A48)*IFERROR(VLOOKUP(Completions!B$2:B$5000,$J$4:$K$18,2,FALSE()),0)))</f>
        <v>0</v>
      </c>
      <c r="G48" s="17" t="str">
        <f t="shared" si="0"/>
        <v>—</v>
      </c>
      <c r="H48" s="17" t="str">
        <f ca="1">IF(A48="","",IFERROR(TEXT(_xludf.maxifs(Completions!G:G,Completions!A:A,A48),"yyyy-mm-dd hh:mm"),"—"))</f>
        <v>—</v>
      </c>
    </row>
    <row r="49" spans="1:8" ht="21.75" customHeight="1" x14ac:dyDescent="0.2">
      <c r="A49" s="16" t="str">
        <f>IFERROR(IF(Members!A46="","",Members!A46),"")</f>
        <v>tony.michael@mail.wvu.edu</v>
      </c>
      <c r="B49" s="16" t="str">
        <f>IFERROR(IF(Members!A46="","",Members!B46),"")</f>
        <v>Tony Michael</v>
      </c>
      <c r="C49" s="16" t="str">
        <f>IFERROR(IF(Members!A46="","",Members!C46),"")</f>
        <v>WV / Phi</v>
      </c>
      <c r="D49" s="16">
        <f>IFERROR(IF(Members!A46="","",Members!D46),"")</f>
        <v>4</v>
      </c>
      <c r="E49" s="16">
        <f>IF(A49="","",COUNTIF(Completions!A:A,A49))</f>
        <v>0</v>
      </c>
      <c r="F49" s="16">
        <f>IF(A49="","",SUMPRODUCT((Completions!A$2:A$5000=A49)*IFERROR(VLOOKUP(Completions!B$2:B$5000,$J$4:$K$18,2,FALSE()),0)))</f>
        <v>0</v>
      </c>
      <c r="G49" s="16" t="str">
        <f t="shared" si="0"/>
        <v>—</v>
      </c>
      <c r="H49" s="16" t="str">
        <f ca="1">IF(A49="","",IFERROR(TEXT(_xludf.maxifs(Completions!G:G,Completions!A:A,A49),"yyyy-mm-dd hh:mm"),"—"))</f>
        <v>—</v>
      </c>
    </row>
    <row r="50" spans="1:8" ht="21.75" customHeight="1" x14ac:dyDescent="0.2">
      <c r="A50" s="17" t="str">
        <f>IFERROR(IF(Members!A47="","",Members!A47),"")</f>
        <v>susan.miller@uky.edu</v>
      </c>
      <c r="B50" s="17" t="str">
        <f>IFERROR(IF(Members!A47="","",Members!B47),"")</f>
        <v>Susan Miller</v>
      </c>
      <c r="C50" s="17" t="str">
        <f>IFERROR(IF(Members!A47="","",Members!C47),"")</f>
        <v>KY / Alpha Kappa</v>
      </c>
      <c r="D50" s="17">
        <f>IFERROR(IF(Members!A47="","",Members!D47),"")</f>
        <v>3</v>
      </c>
      <c r="E50" s="17">
        <f>IF(A50="","",COUNTIF(Completions!A:A,A50))</f>
        <v>0</v>
      </c>
      <c r="F50" s="17">
        <f>IF(A50="","",SUMPRODUCT((Completions!A$2:A$5000=A50)*IFERROR(VLOOKUP(Completions!B$2:B$5000,$J$4:$K$18,2,FALSE()),0)))</f>
        <v>0</v>
      </c>
      <c r="G50" s="17" t="str">
        <f t="shared" si="0"/>
        <v>—</v>
      </c>
      <c r="H50" s="17" t="str">
        <f ca="1">IF(A50="","",IFERROR(TEXT(_xludf.maxifs(Completions!G:G,Completions!A:A,A50),"yyyy-mm-dd hh:mm"),"—"))</f>
        <v>—</v>
      </c>
    </row>
    <row r="51" spans="1:8" ht="21.75" customHeight="1" x14ac:dyDescent="0.2">
      <c r="A51" s="16" t="str">
        <f>IFERROR(IF(Members!A48="","",Members!A48),"")</f>
        <v>jamie.mullins@mail.wvu.edu</v>
      </c>
      <c r="B51" s="16" t="str">
        <f>IFERROR(IF(Members!A48="","",Members!B48),"")</f>
        <v>Jamie Mullins</v>
      </c>
      <c r="C51" s="16" t="str">
        <f>IFERROR(IF(Members!A48="","",Members!C48),"")</f>
        <v>WV / Phi</v>
      </c>
      <c r="D51" s="16">
        <f>IFERROR(IF(Members!A48="","",Members!D48),"")</f>
        <v>3</v>
      </c>
      <c r="E51" s="16">
        <f>IF(A51="","",COUNTIF(Completions!A:A,A51))</f>
        <v>0</v>
      </c>
      <c r="F51" s="16">
        <f>IF(A51="","",SUMPRODUCT((Completions!A$2:A$5000=A51)*IFERROR(VLOOKUP(Completions!B$2:B$5000,$J$4:$K$18,2,FALSE()),0)))</f>
        <v>0</v>
      </c>
      <c r="G51" s="16" t="str">
        <f t="shared" si="0"/>
        <v>—</v>
      </c>
      <c r="H51" s="16" t="str">
        <f ca="1">IF(A51="","",IFERROR(TEXT(_xludf.maxifs(Completions!G:G,Completions!A:A,A51),"yyyy-mm-dd hh:mm"),"—"))</f>
        <v>—</v>
      </c>
    </row>
    <row r="52" spans="1:8" ht="21.75" customHeight="1" x14ac:dyDescent="0.2">
      <c r="A52" s="17" t="str">
        <f>IFERROR(IF(Members!A49="","",Members!A49),"")</f>
        <v>sgn3@msstate.edu</v>
      </c>
      <c r="B52" s="17" t="str">
        <f>IFERROR(IF(Members!A49="","",Members!B49),"")</f>
        <v>Sharon Nettles</v>
      </c>
      <c r="C52" s="17" t="str">
        <f>IFERROR(IF(Members!A49="","",Members!C49),"")</f>
        <v>MS / Rho</v>
      </c>
      <c r="D52" s="17">
        <f>IFERROR(IF(Members!A49="","",Members!D49),"")</f>
        <v>3</v>
      </c>
      <c r="E52" s="17">
        <f>IF(A52="","",COUNTIF(Completions!A:A,A52))</f>
        <v>0</v>
      </c>
      <c r="F52" s="17">
        <f>IF(A52="","",SUMPRODUCT((Completions!A$2:A$5000=A52)*IFERROR(VLOOKUP(Completions!B$2:B$5000,$J$4:$K$18,2,FALSE()),0)))</f>
        <v>0</v>
      </c>
      <c r="G52" s="17" t="str">
        <f t="shared" si="0"/>
        <v>—</v>
      </c>
      <c r="H52" s="17" t="str">
        <f ca="1">IF(A52="","",IFERROR(TEXT(_xludf.maxifs(Completions!G:G,Completions!A:A,A52),"yyyy-mm-dd hh:mm"),"—"))</f>
        <v>—</v>
      </c>
    </row>
    <row r="53" spans="1:8" ht="21.75" customHeight="1" x14ac:dyDescent="0.2">
      <c r="A53" s="16" t="str">
        <f>IFERROR(IF(Members!A50="","",Members!A50),"")</f>
        <v>nickrich@illinois.edu</v>
      </c>
      <c r="B53" s="16" t="str">
        <f>IFERROR(IF(Members!A50="","",Members!B50),"")</f>
        <v>Shelly Nickols-Richardson</v>
      </c>
      <c r="C53" s="16" t="str">
        <f>IFERROR(IF(Members!A50="","",Members!C50),"")</f>
        <v>IL / Alpha Nu</v>
      </c>
      <c r="D53" s="16">
        <f>IFERROR(IF(Members!A50="","",Members!D50),"")</f>
        <v>5</v>
      </c>
      <c r="E53" s="16">
        <f>IF(A53="","",COUNTIF(Completions!A:A,A53))</f>
        <v>0</v>
      </c>
      <c r="F53" s="16">
        <f>IF(A53="","",SUMPRODUCT((Completions!A$2:A$5000=A53)*IFERROR(VLOOKUP(Completions!B$2:B$5000,$J$4:$K$18,2,FALSE()),0)))</f>
        <v>0</v>
      </c>
      <c r="G53" s="16" t="str">
        <f t="shared" si="0"/>
        <v>—</v>
      </c>
      <c r="H53" s="16" t="str">
        <f ca="1">IF(A53="","",IFERROR(TEXT(_xludf.maxifs(Completions!G:G,Completions!A:A,A53),"yyyy-mm-dd hh:mm"),"—"))</f>
        <v>—</v>
      </c>
    </row>
    <row r="54" spans="1:8" ht="21.75" customHeight="1" x14ac:dyDescent="0.2">
      <c r="A54" s="17" t="str">
        <f>IFERROR(IF(Members!A51="","",Members!A51),"")</f>
        <v>eorwig@illinois.edu</v>
      </c>
      <c r="B54" s="17" t="str">
        <f>IFERROR(IF(Members!A51="","",Members!B51),"")</f>
        <v>Erin Orwig</v>
      </c>
      <c r="C54" s="17" t="str">
        <f>IFERROR(IF(Members!A51="","",Members!C51),"")</f>
        <v>IL / Alpha Nu</v>
      </c>
      <c r="D54" s="17">
        <f>IFERROR(IF(Members!A51="","",Members!D51),"")</f>
        <v>3</v>
      </c>
      <c r="E54" s="17">
        <f>IF(A54="","",COUNTIF(Completions!A:A,A54))</f>
        <v>0</v>
      </c>
      <c r="F54" s="17">
        <f>IF(A54="","",SUMPRODUCT((Completions!A$2:A$5000=A54)*IFERROR(VLOOKUP(Completions!B$2:B$5000,$J$4:$K$18,2,FALSE()),0)))</f>
        <v>0</v>
      </c>
      <c r="G54" s="17" t="str">
        <f t="shared" si="0"/>
        <v>—</v>
      </c>
      <c r="H54" s="17" t="str">
        <f ca="1">IF(A54="","",IFERROR(TEXT(_xludf.maxifs(Completions!G:G,Completions!A:A,A54),"yyyy-mm-dd hh:mm"),"—"))</f>
        <v>—</v>
      </c>
    </row>
    <row r="55" spans="1:8" ht="21.75" customHeight="1" x14ac:dyDescent="0.2">
      <c r="A55" s="16" t="str">
        <f>IFERROR(IF(Members!A52="","",Members!A52),"")</f>
        <v>josborn@missouri.edu</v>
      </c>
      <c r="B55" s="16" t="str">
        <f>IFERROR(IF(Members!A52="","",Members!B52),"")</f>
        <v>Jennifer Osborn</v>
      </c>
      <c r="C55" s="16" t="str">
        <f>IFERROR(IF(Members!A52="","",Members!C52),"")</f>
        <v>MO / Alpha Tau</v>
      </c>
      <c r="D55" s="16">
        <f>IFERROR(IF(Members!A52="","",Members!D52),"")</f>
        <v>2</v>
      </c>
      <c r="E55" s="16">
        <f>IF(A55="","",COUNTIF(Completions!A:A,A55))</f>
        <v>0</v>
      </c>
      <c r="F55" s="16">
        <f>IF(A55="","",SUMPRODUCT((Completions!A$2:A$5000=A55)*IFERROR(VLOOKUP(Completions!B$2:B$5000,$J$4:$K$18,2,FALSE()),0)))</f>
        <v>0</v>
      </c>
      <c r="G55" s="16" t="str">
        <f t="shared" si="0"/>
        <v>—</v>
      </c>
      <c r="H55" s="16" t="str">
        <f ca="1">IF(A55="","",IFERROR(TEXT(_xludf.maxifs(Completions!G:G,Completions!A:A,A55),"yyyy-mm-dd hh:mm"),"—"))</f>
        <v>—</v>
      </c>
    </row>
    <row r="56" spans="1:8" ht="21.75" customHeight="1" x14ac:dyDescent="0.2">
      <c r="A56" s="17" t="str">
        <f>IFERROR(IF(Members!A53="","",Members!A53),"")</f>
        <v>kmbrow8@uky.edu</v>
      </c>
      <c r="B56" s="17" t="str">
        <f>IFERROR(IF(Members!A53="","",Members!B53),"")</f>
        <v>Krista Perry</v>
      </c>
      <c r="C56" s="17" t="str">
        <f>IFERROR(IF(Members!A53="","",Members!C53),"")</f>
        <v>KY / Alpha Kappa</v>
      </c>
      <c r="D56" s="17">
        <f>IFERROR(IF(Members!A53="","",Members!D53),"")</f>
        <v>5</v>
      </c>
      <c r="E56" s="17">
        <f>IF(A56="","",COUNTIF(Completions!A:A,A56))</f>
        <v>0</v>
      </c>
      <c r="F56" s="17">
        <f>IF(A56="","",SUMPRODUCT((Completions!A$2:A$5000=A56)*IFERROR(VLOOKUP(Completions!B$2:B$5000,$J$4:$K$18,2,FALSE()),0)))</f>
        <v>0</v>
      </c>
      <c r="G56" s="17" t="str">
        <f t="shared" si="0"/>
        <v>—</v>
      </c>
      <c r="H56" s="17" t="str">
        <f ca="1">IF(A56="","",IFERROR(TEXT(_xludf.maxifs(Completions!G:G,Completions!A:A,A56),"yyyy-mm-dd hh:mm"),"—"))</f>
        <v>—</v>
      </c>
    </row>
    <row r="57" spans="1:8" ht="21.75" customHeight="1" x14ac:dyDescent="0.2">
      <c r="A57" s="16" t="str">
        <f>IFERROR(IF(Members!A54="","",Members!A54),"")</f>
        <v>lap5981@illinois.edu</v>
      </c>
      <c r="B57" s="16" t="str">
        <f>IFERROR(IF(Members!A54="","",Members!B54),"")</f>
        <v>Lisa Peterson</v>
      </c>
      <c r="C57" s="16" t="str">
        <f>IFERROR(IF(Members!A54="","",Members!C54),"")</f>
        <v>IL / Alpha Nu</v>
      </c>
      <c r="D57" s="16">
        <f>IFERROR(IF(Members!A54="","",Members!D54),"")</f>
        <v>3</v>
      </c>
      <c r="E57" s="16">
        <f>IF(A57="","",COUNTIF(Completions!A:A,A57))</f>
        <v>0</v>
      </c>
      <c r="F57" s="16">
        <f>IF(A57="","",SUMPRODUCT((Completions!A$2:A$5000=A57)*IFERROR(VLOOKUP(Completions!B$2:B$5000,$J$4:$K$18,2,FALSE()),0)))</f>
        <v>0</v>
      </c>
      <c r="G57" s="16" t="str">
        <f t="shared" si="0"/>
        <v>—</v>
      </c>
      <c r="H57" s="16" t="str">
        <f ca="1">IF(A57="","",IFERROR(TEXT(_xludf.maxifs(Completions!G:G,Completions!A:A,A57),"yyyy-mm-dd hh:mm"),"—"))</f>
        <v>—</v>
      </c>
    </row>
    <row r="58" spans="1:8" ht="21.75" customHeight="1" x14ac:dyDescent="0.2">
      <c r="A58" s="17" t="str">
        <f>IFERROR(IF(Members!A55="","",Members!A55),"")</f>
        <v>jkbarr3@uky.edu</v>
      </c>
      <c r="B58" s="17" t="str">
        <f>IFERROR(IF(Members!A55="","",Members!B55),"")</f>
        <v>Joni Phelps</v>
      </c>
      <c r="C58" s="17" t="str">
        <f>IFERROR(IF(Members!A55="","",Members!C55),"")</f>
        <v>KY / Alpha Kappa</v>
      </c>
      <c r="D58" s="17">
        <f>IFERROR(IF(Members!A55="","",Members!D55),"")</f>
        <v>3</v>
      </c>
      <c r="E58" s="17">
        <f>IF(A58="","",COUNTIF(Completions!A:A,A58))</f>
        <v>0</v>
      </c>
      <c r="F58" s="17">
        <f>IF(A58="","",SUMPRODUCT((Completions!A$2:A$5000=A58)*IFERROR(VLOOKUP(Completions!B$2:B$5000,$J$4:$K$18,2,FALSE()),0)))</f>
        <v>0</v>
      </c>
      <c r="G58" s="17" t="str">
        <f t="shared" si="0"/>
        <v>—</v>
      </c>
      <c r="H58" s="17" t="str">
        <f ca="1">IF(A58="","",IFERROR(TEXT(_xludf.maxifs(Completions!G:G,Completions!A:A,A58),"yyyy-mm-dd hh:mm"),"—"))</f>
        <v>—</v>
      </c>
    </row>
    <row r="59" spans="1:8" ht="21.75" customHeight="1" x14ac:dyDescent="0.2">
      <c r="A59" s="16" t="str">
        <f>IFERROR(IF(Members!A56="","",Members!A56),"")</f>
        <v>rikkir@uidaho.edu</v>
      </c>
      <c r="B59" s="16" t="str">
        <f>IFERROR(IF(Members!A56="","",Members!B56),"")</f>
        <v>Rikki Ruiz</v>
      </c>
      <c r="C59" s="16" t="str">
        <f>IFERROR(IF(Members!A56="","",Members!C56),"")</f>
        <v>ID / Theta</v>
      </c>
      <c r="D59" s="16">
        <f>IFERROR(IF(Members!A56="","",Members!D56),"")</f>
        <v>1</v>
      </c>
      <c r="E59" s="16">
        <f>IF(A59="","",COUNTIF(Completions!A:A,A59))</f>
        <v>0</v>
      </c>
      <c r="F59" s="16">
        <f>IF(A59="","",SUMPRODUCT((Completions!A$2:A$5000=A59)*IFERROR(VLOOKUP(Completions!B$2:B$5000,$J$4:$K$18,2,FALSE()),0)))</f>
        <v>0</v>
      </c>
      <c r="G59" s="16" t="str">
        <f t="shared" si="0"/>
        <v>—</v>
      </c>
      <c r="H59" s="16" t="str">
        <f ca="1">IF(A59="","",IFERROR(TEXT(_xludf.maxifs(Completions!G:G,Completions!A:A,A59),"yyyy-mm-dd hh:mm"),"—"))</f>
        <v>—</v>
      </c>
    </row>
    <row r="60" spans="1:8" ht="21.75" customHeight="1" x14ac:dyDescent="0.2">
      <c r="A60" s="17" t="str">
        <f>IFERROR(IF(Members!A57="","",Members!A57),"")</f>
        <v>amber.shanahan@wisc.edu</v>
      </c>
      <c r="B60" s="17" t="str">
        <f>IFERROR(IF(Members!A57="","",Members!B57),"")</f>
        <v>Amber Shanahan</v>
      </c>
      <c r="C60" s="17" t="str">
        <f>IFERROR(IF(Members!A57="","",Members!C57),"")</f>
        <v>WI / Alpha Sigma</v>
      </c>
      <c r="D60" s="17">
        <f>IFERROR(IF(Members!A57="","",Members!D57),"")</f>
        <v>4</v>
      </c>
      <c r="E60" s="17">
        <f>IF(A60="","",COUNTIF(Completions!A:A,A60))</f>
        <v>0</v>
      </c>
      <c r="F60" s="17">
        <f>IF(A60="","",SUMPRODUCT((Completions!A$2:A$5000=A60)*IFERROR(VLOOKUP(Completions!B$2:B$5000,$J$4:$K$18,2,FALSE()),0)))</f>
        <v>0</v>
      </c>
      <c r="G60" s="17" t="str">
        <f t="shared" si="0"/>
        <v>—</v>
      </c>
      <c r="H60" s="17" t="str">
        <f ca="1">IF(A60="","",IFERROR(TEXT(_xludf.maxifs(Completions!G:G,Completions!A:A,A60),"yyyy-mm-dd hh:mm"),"—"))</f>
        <v>—</v>
      </c>
    </row>
    <row r="61" spans="1:8" ht="21.75" customHeight="1" x14ac:dyDescent="0.2">
      <c r="A61" s="16" t="str">
        <f>IFERROR(IF(Members!A58="","",Members!A58),"")</f>
        <v>slate187@umn.edu</v>
      </c>
      <c r="B61" s="16" t="str">
        <f>IFERROR(IF(Members!A58="","",Members!B58),"")</f>
        <v>Megan Slater</v>
      </c>
      <c r="C61" s="16" t="str">
        <f>IFERROR(IF(Members!A58="","",Members!C58),"")</f>
        <v>MN / Pi</v>
      </c>
      <c r="D61" s="16">
        <f>IFERROR(IF(Members!A58="","",Members!D58),"")</f>
        <v>5</v>
      </c>
      <c r="E61" s="16">
        <f>IF(A61="","",COUNTIF(Completions!A:A,A61))</f>
        <v>0</v>
      </c>
      <c r="F61" s="16">
        <f>IF(A61="","",SUMPRODUCT((Completions!A$2:A$5000=A61)*IFERROR(VLOOKUP(Completions!B$2:B$5000,$J$4:$K$18,2,FALSE()),0)))</f>
        <v>0</v>
      </c>
      <c r="G61" s="16" t="str">
        <f t="shared" si="0"/>
        <v>—</v>
      </c>
      <c r="H61" s="16" t="str">
        <f ca="1">IF(A61="","",IFERROR(TEXT(_xludf.maxifs(Completions!G:G,Completions!A:A,A61),"yyyy-mm-dd hh:mm"),"—"))</f>
        <v>—</v>
      </c>
    </row>
    <row r="62" spans="1:8" ht="21.75" customHeight="1" x14ac:dyDescent="0.2">
      <c r="A62" s="17" t="str">
        <f>IFERROR(IF(Members!A59="","",Members!A59),"")</f>
        <v>ssloop@illinois.edu</v>
      </c>
      <c r="B62" s="17" t="str">
        <f>IFERROR(IF(Members!A59="","",Members!B59),"")</f>
        <v>Susan Sloop</v>
      </c>
      <c r="C62" s="17" t="str">
        <f>IFERROR(IF(Members!A59="","",Members!C59),"")</f>
        <v>IL / Alpha Nu</v>
      </c>
      <c r="D62" s="17">
        <f>IFERROR(IF(Members!A59="","",Members!D59),"")</f>
        <v>3</v>
      </c>
      <c r="E62" s="17">
        <f>IF(A62="","",COUNTIF(Completions!A:A,A62))</f>
        <v>0</v>
      </c>
      <c r="F62" s="17">
        <f>IF(A62="","",SUMPRODUCT((Completions!A$2:A$5000=A62)*IFERROR(VLOOKUP(Completions!B$2:B$5000,$J$4:$K$18,2,FALSE()),0)))</f>
        <v>0</v>
      </c>
      <c r="G62" s="17" t="str">
        <f t="shared" si="0"/>
        <v>—</v>
      </c>
      <c r="H62" s="17" t="str">
        <f ca="1">IF(A62="","",IFERROR(TEXT(_xludf.maxifs(Completions!G:G,Completions!A:A,A62),"yyyy-mm-dd hh:mm"),"—"))</f>
        <v>—</v>
      </c>
    </row>
    <row r="63" spans="1:8" ht="21.75" customHeight="1" x14ac:dyDescent="0.2">
      <c r="A63" s="16" t="str">
        <f>IFERROR(IF(Members!A60="","",Members!A60),"")</f>
        <v>lrspears@nmsu.edu</v>
      </c>
      <c r="B63" s="16" t="str">
        <f>IFERROR(IF(Members!A60="","",Members!B60),"")</f>
        <v>LaJoy R. Spears</v>
      </c>
      <c r="C63" s="16" t="str">
        <f>IFERROR(IF(Members!A60="","",Members!C60),"")</f>
        <v>NM / Epsilon</v>
      </c>
      <c r="D63" s="16">
        <f>IFERROR(IF(Members!A60="","",Members!D60),"")</f>
        <v>4</v>
      </c>
      <c r="E63" s="16">
        <f>IF(A63="","",COUNTIF(Completions!A:A,A63))</f>
        <v>0</v>
      </c>
      <c r="F63" s="16">
        <f>IF(A63="","",SUMPRODUCT((Completions!A$2:A$5000=A63)*IFERROR(VLOOKUP(Completions!B$2:B$5000,$J$4:$K$18,2,FALSE()),0)))</f>
        <v>0</v>
      </c>
      <c r="G63" s="16" t="str">
        <f t="shared" si="0"/>
        <v>—</v>
      </c>
      <c r="H63" s="16" t="str">
        <f ca="1">IF(A63="","",IFERROR(TEXT(_xludf.maxifs(Completions!G:G,Completions!A:A,A63),"yyyy-mm-dd hh:mm"),"—"))</f>
        <v>—</v>
      </c>
    </row>
    <row r="64" spans="1:8" ht="21.75" customHeight="1" x14ac:dyDescent="0.2">
      <c r="A64" s="17" t="str">
        <f>IFERROR(IF(Members!A61="","",Members!A61),"")</f>
        <v>jds77@cornell.edu</v>
      </c>
      <c r="B64" s="17" t="str">
        <f>IFERROR(IF(Members!A61="","",Members!B61),"")</f>
        <v>Jackie Spencer</v>
      </c>
      <c r="C64" s="17" t="str">
        <f>IFERROR(IF(Members!A61="","",Members!C61),"")</f>
        <v>NY / Lambda</v>
      </c>
      <c r="D64" s="17">
        <f>IFERROR(IF(Members!A61="","",Members!D61),"")</f>
        <v>4</v>
      </c>
      <c r="E64" s="17">
        <f>IF(A64="","",COUNTIF(Completions!A:A,A64))</f>
        <v>0</v>
      </c>
      <c r="F64" s="17">
        <f>IF(A64="","",SUMPRODUCT((Completions!A$2:A$5000=A64)*IFERROR(VLOOKUP(Completions!B$2:B$5000,$J$4:$K$18,2,FALSE()),0)))</f>
        <v>0</v>
      </c>
      <c r="G64" s="17" t="str">
        <f t="shared" si="0"/>
        <v>—</v>
      </c>
      <c r="H64" s="17" t="str">
        <f ca="1">IF(A64="","",IFERROR(TEXT(_xludf.maxifs(Completions!G:G,Completions!A:A,A64),"yyyy-mm-dd hh:mm"),"—"))</f>
        <v>—</v>
      </c>
    </row>
    <row r="65" spans="1:8" ht="21.75" customHeight="1" x14ac:dyDescent="0.2">
      <c r="A65" s="16" t="str">
        <f>IFERROR(IF(Members!A62="","",Members!A62),"")</f>
        <v>easteele@illinois.edu</v>
      </c>
      <c r="B65" s="16" t="str">
        <f>IFERROR(IF(Members!A62="","",Members!B62),"")</f>
        <v>Emily Steele</v>
      </c>
      <c r="C65" s="16" t="str">
        <f>IFERROR(IF(Members!A62="","",Members!C62),"")</f>
        <v>IL / Alpha Nu</v>
      </c>
      <c r="D65" s="16">
        <f>IFERROR(IF(Members!A62="","",Members!D62),"")</f>
        <v>4</v>
      </c>
      <c r="E65" s="16">
        <f>IF(A65="","",COUNTIF(Completions!A:A,A65))</f>
        <v>0</v>
      </c>
      <c r="F65" s="16">
        <f>IF(A65="","",SUMPRODUCT((Completions!A$2:A$5000=A65)*IFERROR(VLOOKUP(Completions!B$2:B$5000,$J$4:$K$18,2,FALSE()),0)))</f>
        <v>0</v>
      </c>
      <c r="G65" s="16" t="str">
        <f t="shared" si="0"/>
        <v>—</v>
      </c>
      <c r="H65" s="16" t="str">
        <f ca="1">IF(A65="","",IFERROR(TEXT(_xludf.maxifs(Completions!G:G,Completions!A:A,A65),"yyyy-mm-dd hh:mm"),"—"))</f>
        <v>—</v>
      </c>
    </row>
    <row r="66" spans="1:8" ht="21.75" customHeight="1" x14ac:dyDescent="0.2">
      <c r="A66" s="17" t="str">
        <f>IFERROR(IF(Members!A63="","",Members!A63),"")</f>
        <v>lterry@montana.edu</v>
      </c>
      <c r="B66" s="17" t="str">
        <f>IFERROR(IF(Members!A63="","",Members!B63),"")</f>
        <v>Lisa Terry</v>
      </c>
      <c r="C66" s="17" t="str">
        <f>IFERROR(IF(Members!A63="","",Members!C63),"")</f>
        <v>MT / Alpha</v>
      </c>
      <c r="D66" s="17">
        <f>IFERROR(IF(Members!A63="","",Members!D63),"")</f>
        <v>4</v>
      </c>
      <c r="E66" s="17">
        <f>IF(A66="","",COUNTIF(Completions!A:A,A66))</f>
        <v>0</v>
      </c>
      <c r="F66" s="17">
        <f>IF(A66="","",SUMPRODUCT((Completions!A$2:A$5000=A66)*IFERROR(VLOOKUP(Completions!B$2:B$5000,$J$4:$K$18,2,FALSE()),0)))</f>
        <v>0</v>
      </c>
      <c r="G66" s="17" t="str">
        <f t="shared" si="0"/>
        <v>—</v>
      </c>
      <c r="H66" s="17" t="str">
        <f ca="1">IF(A66="","",IFERROR(TEXT(_xludf.maxifs(Completions!G:G,Completions!A:A,A66),"yyyy-mm-dd hh:mm"),"—"))</f>
        <v>—</v>
      </c>
    </row>
    <row r="67" spans="1:8" ht="21.75" customHeight="1" x14ac:dyDescent="0.2">
      <c r="A67" s="16" t="str">
        <f>IFERROR(IF(Members!A64="","",Members!A64),"")</f>
        <v>traci.trostad@ndsu.edu</v>
      </c>
      <c r="B67" s="16" t="str">
        <f>IFERROR(IF(Members!A64="","",Members!B64),"")</f>
        <v>Traci Trostad</v>
      </c>
      <c r="C67" s="16" t="str">
        <f>IFERROR(IF(Members!A64="","",Members!C64),"")</f>
        <v>ND / Upsilon</v>
      </c>
      <c r="D67" s="16">
        <f>IFERROR(IF(Members!A64="","",Members!D64),"")</f>
        <v>5</v>
      </c>
      <c r="E67" s="16">
        <f>IF(A67="","",COUNTIF(Completions!A:A,A67))</f>
        <v>0</v>
      </c>
      <c r="F67" s="16">
        <f>IF(A67="","",SUMPRODUCT((Completions!A$2:A$5000=A67)*IFERROR(VLOOKUP(Completions!B$2:B$5000,$J$4:$K$18,2,FALSE()),0)))</f>
        <v>0</v>
      </c>
      <c r="G67" s="16" t="str">
        <f t="shared" si="0"/>
        <v>—</v>
      </c>
      <c r="H67" s="16" t="str">
        <f ca="1">IF(A67="","",IFERROR(TEXT(_xludf.maxifs(Completions!G:G,Completions!A:A,A67),"yyyy-mm-dd hh:mm"),"—"))</f>
        <v>—</v>
      </c>
    </row>
    <row r="68" spans="1:8" ht="21.75" customHeight="1" x14ac:dyDescent="0.2">
      <c r="A68" s="17" t="str">
        <f>IFERROR(IF(Members!A65="","",Members!A65),"")</f>
        <v>mcvann@illinois.edu</v>
      </c>
      <c r="B68" s="17" t="str">
        <f>IFERROR(IF(Members!A65="","",Members!B65),"")</f>
        <v>Matthew Vann</v>
      </c>
      <c r="C68" s="17" t="str">
        <f>IFERROR(IF(Members!A65="","",Members!C65),"")</f>
        <v>IL / Alpha Nu</v>
      </c>
      <c r="D68" s="17">
        <f>IFERROR(IF(Members!A65="","",Members!D65),"")</f>
        <v>1</v>
      </c>
      <c r="E68" s="17">
        <f>IF(A68="","",COUNTIF(Completions!A:A,A68))</f>
        <v>0</v>
      </c>
      <c r="F68" s="17">
        <f>IF(A68="","",SUMPRODUCT((Completions!A$2:A$5000=A68)*IFERROR(VLOOKUP(Completions!B$2:B$5000,$J$4:$K$18,2,FALSE()),0)))</f>
        <v>0</v>
      </c>
      <c r="G68" s="17" t="str">
        <f t="shared" si="0"/>
        <v>—</v>
      </c>
      <c r="H68" s="17" t="str">
        <f ca="1">IF(A68="","",IFERROR(TEXT(_xludf.maxifs(Completions!G:G,Completions!A:A,A68),"yyyy-mm-dd hh:mm"),"—"))</f>
        <v>—</v>
      </c>
    </row>
    <row r="69" spans="1:8" ht="21.75" customHeight="1" x14ac:dyDescent="0.2">
      <c r="A69" s="16" t="str">
        <f>IFERROR(IF(Members!A66="","",Members!A66),"")</f>
        <v>zlwhite@mail.wvu.edu</v>
      </c>
      <c r="B69" s="16" t="str">
        <f>IFERROR(IF(Members!A66="","",Members!B66),"")</f>
        <v>Zachary White</v>
      </c>
      <c r="C69" s="16" t="str">
        <f>IFERROR(IF(Members!A66="","",Members!C66),"")</f>
        <v>WV / Phi</v>
      </c>
      <c r="D69" s="16">
        <f>IFERROR(IF(Members!A66="","",Members!D66),"")</f>
        <v>4</v>
      </c>
      <c r="E69" s="16">
        <f>IF(A69="","",COUNTIF(Completions!A:A,A69))</f>
        <v>0</v>
      </c>
      <c r="F69" s="16">
        <f>IF(A69="","",SUMPRODUCT((Completions!A$2:A$5000=A69)*IFERROR(VLOOKUP(Completions!B$2:B$5000,$J$4:$K$18,2,FALSE()),0)))</f>
        <v>0</v>
      </c>
      <c r="G69" s="16" t="str">
        <f t="shared" ref="G69:G132" si="1">IF(A69="","",IF(F69&gt;=20,"Gold",IF(F69&gt;=14,"Silver",IF(F69&gt;=8,"Bronze","—"))))</f>
        <v>—</v>
      </c>
      <c r="H69" s="16" t="str">
        <f ca="1">IF(A69="","",IFERROR(TEXT(_xludf.maxifs(Completions!G:G,Completions!A:A,A69),"yyyy-mm-dd hh:mm"),"—"))</f>
        <v>—</v>
      </c>
    </row>
    <row r="70" spans="1:8" ht="21.75" customHeight="1" x14ac:dyDescent="0.2">
      <c r="A70" s="17" t="str">
        <f>IFERROR(IF(Members!A67="","",Members!A67),"")</f>
        <v>aawilson@vt.edu</v>
      </c>
      <c r="B70" s="17" t="str">
        <f>IFERROR(IF(Members!A67="","",Members!B67),"")</f>
        <v>Amber Wilson</v>
      </c>
      <c r="C70" s="17" t="str">
        <f>IFERROR(IF(Members!A67="","",Members!C67),"")</f>
        <v>VA / Alpha Gamma</v>
      </c>
      <c r="D70" s="17">
        <f>IFERROR(IF(Members!A67="","",Members!D67),"")</f>
        <v>4</v>
      </c>
      <c r="E70" s="17">
        <f>IF(A70="","",COUNTIF(Completions!A:A,A70))</f>
        <v>0</v>
      </c>
      <c r="F70" s="17">
        <f>IF(A70="","",SUMPRODUCT((Completions!A$2:A$5000=A70)*IFERROR(VLOOKUP(Completions!B$2:B$5000,$J$4:$K$18,2,FALSE()),0)))</f>
        <v>0</v>
      </c>
      <c r="G70" s="17" t="str">
        <f t="shared" si="1"/>
        <v>—</v>
      </c>
      <c r="H70" s="17" t="str">
        <f ca="1">IF(A70="","",IFERROR(TEXT(_xludf.maxifs(Completions!G:G,Completions!A:A,A70),"yyyy-mm-dd hh:mm"),"—"))</f>
        <v>—</v>
      </c>
    </row>
    <row r="71" spans="1:8" ht="21.75" customHeight="1" x14ac:dyDescent="0.2">
      <c r="A71" s="16" t="str">
        <f>IFERROR(IF(Members!A68="","",Members!A68),"")</f>
        <v>tearney.woodruff@ag.tamu.edu</v>
      </c>
      <c r="B71" s="16" t="str">
        <f>IFERROR(IF(Members!A68="","",Members!B68),"")</f>
        <v>Tearney Woodruff</v>
      </c>
      <c r="C71" s="16" t="str">
        <f>IFERROR(IF(Members!A68="","",Members!C68),"")</f>
        <v>TX / Alpha Zeta</v>
      </c>
      <c r="D71" s="16">
        <f>IFERROR(IF(Members!A68="","",Members!D68),"")</f>
        <v>4</v>
      </c>
      <c r="E71" s="16">
        <f>IF(A71="","",COUNTIF(Completions!A:A,A71))</f>
        <v>0</v>
      </c>
      <c r="F71" s="16">
        <f>IF(A71="","",SUMPRODUCT((Completions!A$2:A$5000=A71)*IFERROR(VLOOKUP(Completions!B$2:B$5000,$J$4:$K$18,2,FALSE()),0)))</f>
        <v>0</v>
      </c>
      <c r="G71" s="16" t="str">
        <f t="shared" si="1"/>
        <v>—</v>
      </c>
      <c r="H71" s="16" t="str">
        <f ca="1">IF(A71="","",IFERROR(TEXT(_xludf.maxifs(Completions!G:G,Completions!A:A,A71),"yyyy-mm-dd hh:mm"),"—"))</f>
        <v>—</v>
      </c>
    </row>
    <row r="72" spans="1:8" ht="21.75" customHeight="1" x14ac:dyDescent="0.2">
      <c r="A72" s="17" t="str">
        <f>IFERROR(IF(Members!A69="","",Members!A69),"")</f>
        <v>aeworkman@wisc.edu</v>
      </c>
      <c r="B72" s="17" t="str">
        <f>IFERROR(IF(Members!A69="","",Members!B69),"")</f>
        <v>Amy Workman</v>
      </c>
      <c r="C72" s="17" t="str">
        <f>IFERROR(IF(Members!A69="","",Members!C69),"")</f>
        <v>WI / Alpha Sigma</v>
      </c>
      <c r="D72" s="17">
        <f>IFERROR(IF(Members!A69="","",Members!D69),"")</f>
        <v>5</v>
      </c>
      <c r="E72" s="17">
        <f>IF(A72="","",COUNTIF(Completions!A:A,A72))</f>
        <v>0</v>
      </c>
      <c r="F72" s="17">
        <f>IF(A72="","",SUMPRODUCT((Completions!A$2:A$5000=A72)*IFERROR(VLOOKUP(Completions!B$2:B$5000,$J$4:$K$18,2,FALSE()),0)))</f>
        <v>0</v>
      </c>
      <c r="G72" s="17" t="str">
        <f t="shared" si="1"/>
        <v>—</v>
      </c>
      <c r="H72" s="17" t="str">
        <f ca="1">IF(A72="","",IFERROR(TEXT(_xludf.maxifs(Completions!G:G,Completions!A:A,A72),"yyyy-mm-dd hh:mm"),"—"))</f>
        <v>—</v>
      </c>
    </row>
    <row r="73" spans="1:8" ht="21.75" customHeight="1" x14ac:dyDescent="0.2">
      <c r="A73" s="16" t="str">
        <f>IFERROR(IF(Members!A70="","",Members!A70),"")</f>
        <v/>
      </c>
      <c r="B73" s="16" t="str">
        <f>IFERROR(IF(Members!A70="","",Members!B70),"")</f>
        <v/>
      </c>
      <c r="C73" s="16" t="str">
        <f>IFERROR(IF(Members!A70="","",Members!C70),"")</f>
        <v/>
      </c>
      <c r="D73" s="16" t="str">
        <f>IFERROR(IF(Members!A70="","",Members!D70),"")</f>
        <v/>
      </c>
      <c r="E73" s="16" t="str">
        <f>IF(A73="","",COUNTIF(Completions!A:A,A73))</f>
        <v/>
      </c>
      <c r="F73" s="16" t="str">
        <f>IF(A73="","",SUMPRODUCT((Completions!A$2:A$5000=A73)*IFERROR(VLOOKUP(Completions!B$2:B$5000,$J$4:$K$18,2,FALSE()),0)))</f>
        <v/>
      </c>
      <c r="G73" s="16" t="str">
        <f t="shared" si="1"/>
        <v/>
      </c>
      <c r="H73" s="16" t="str">
        <f>IF(A73="","",IFERROR(TEXT(_xludf.maxifs(Completions!G:G,Completions!A:A,A73),"yyyy-mm-dd hh:mm"),"—"))</f>
        <v/>
      </c>
    </row>
    <row r="74" spans="1:8" ht="21.75" customHeight="1" x14ac:dyDescent="0.2">
      <c r="A74" s="17" t="str">
        <f>IFERROR(IF(Members!A71="","",Members!A71),"")</f>
        <v/>
      </c>
      <c r="B74" s="17" t="str">
        <f>IFERROR(IF(Members!A71="","",Members!B71),"")</f>
        <v/>
      </c>
      <c r="C74" s="17" t="str">
        <f>IFERROR(IF(Members!A71="","",Members!C71),"")</f>
        <v/>
      </c>
      <c r="D74" s="17" t="str">
        <f>IFERROR(IF(Members!A71="","",Members!D71),"")</f>
        <v/>
      </c>
      <c r="E74" s="17" t="str">
        <f>IF(A74="","",COUNTIF(Completions!A:A,A74))</f>
        <v/>
      </c>
      <c r="F74" s="17" t="str">
        <f>IF(A74="","",SUMPRODUCT((Completions!A$2:A$5000=A74)*IFERROR(VLOOKUP(Completions!B$2:B$5000,$J$4:$K$18,2,FALSE()),0)))</f>
        <v/>
      </c>
      <c r="G74" s="17" t="str">
        <f t="shared" si="1"/>
        <v/>
      </c>
      <c r="H74" s="17" t="str">
        <f>IF(A74="","",IFERROR(TEXT(_xludf.maxifs(Completions!G:G,Completions!A:A,A74),"yyyy-mm-dd hh:mm"),"—"))</f>
        <v/>
      </c>
    </row>
    <row r="75" spans="1:8" ht="21.75" customHeight="1" x14ac:dyDescent="0.2">
      <c r="A75" s="16" t="str">
        <f>IFERROR(IF(Members!A72="","",Members!A72),"")</f>
        <v/>
      </c>
      <c r="B75" s="16" t="str">
        <f>IFERROR(IF(Members!A72="","",Members!B72),"")</f>
        <v/>
      </c>
      <c r="C75" s="16" t="str">
        <f>IFERROR(IF(Members!A72="","",Members!C72),"")</f>
        <v/>
      </c>
      <c r="D75" s="16" t="str">
        <f>IFERROR(IF(Members!A72="","",Members!D72),"")</f>
        <v/>
      </c>
      <c r="E75" s="16" t="str">
        <f>IF(A75="","",COUNTIF(Completions!A:A,A75))</f>
        <v/>
      </c>
      <c r="F75" s="16" t="str">
        <f>IF(A75="","",SUMPRODUCT((Completions!A$2:A$5000=A75)*IFERROR(VLOOKUP(Completions!B$2:B$5000,$J$4:$K$18,2,FALSE()),0)))</f>
        <v/>
      </c>
      <c r="G75" s="16" t="str">
        <f t="shared" si="1"/>
        <v/>
      </c>
      <c r="H75" s="16" t="str">
        <f>IF(A75="","",IFERROR(TEXT(_xludf.maxifs(Completions!G:G,Completions!A:A,A75),"yyyy-mm-dd hh:mm"),"—"))</f>
        <v/>
      </c>
    </row>
    <row r="76" spans="1:8" ht="21.75" customHeight="1" x14ac:dyDescent="0.2">
      <c r="A76" s="17" t="str">
        <f>IFERROR(IF(Members!A73="","",Members!A73),"")</f>
        <v/>
      </c>
      <c r="B76" s="17" t="str">
        <f>IFERROR(IF(Members!A73="","",Members!B73),"")</f>
        <v/>
      </c>
      <c r="C76" s="17" t="str">
        <f>IFERROR(IF(Members!A73="","",Members!C73),"")</f>
        <v/>
      </c>
      <c r="D76" s="17" t="str">
        <f>IFERROR(IF(Members!A73="","",Members!D73),"")</f>
        <v/>
      </c>
      <c r="E76" s="17" t="str">
        <f>IF(A76="","",COUNTIF(Completions!A:A,A76))</f>
        <v/>
      </c>
      <c r="F76" s="17" t="str">
        <f>IF(A76="","",SUMPRODUCT((Completions!A$2:A$5000=A76)*IFERROR(VLOOKUP(Completions!B$2:B$5000,$J$4:$K$18,2,FALSE()),0)))</f>
        <v/>
      </c>
      <c r="G76" s="17" t="str">
        <f t="shared" si="1"/>
        <v/>
      </c>
      <c r="H76" s="17" t="str">
        <f>IF(A76="","",IFERROR(TEXT(_xludf.maxifs(Completions!G:G,Completions!A:A,A76),"yyyy-mm-dd hh:mm"),"—"))</f>
        <v/>
      </c>
    </row>
    <row r="77" spans="1:8" ht="21.75" customHeight="1" x14ac:dyDescent="0.2">
      <c r="A77" s="16" t="str">
        <f>IFERROR(IF(Members!A74="","",Members!A74),"")</f>
        <v/>
      </c>
      <c r="B77" s="16" t="str">
        <f>IFERROR(IF(Members!A74="","",Members!B74),"")</f>
        <v/>
      </c>
      <c r="C77" s="16" t="str">
        <f>IFERROR(IF(Members!A74="","",Members!C74),"")</f>
        <v/>
      </c>
      <c r="D77" s="16" t="str">
        <f>IFERROR(IF(Members!A74="","",Members!D74),"")</f>
        <v/>
      </c>
      <c r="E77" s="16" t="str">
        <f>IF(A77="","",COUNTIF(Completions!A:A,A77))</f>
        <v/>
      </c>
      <c r="F77" s="16" t="str">
        <f>IF(A77="","",SUMPRODUCT((Completions!A$2:A$5000=A77)*IFERROR(VLOOKUP(Completions!B$2:B$5000,$J$4:$K$18,2,FALSE()),0)))</f>
        <v/>
      </c>
      <c r="G77" s="16" t="str">
        <f t="shared" si="1"/>
        <v/>
      </c>
      <c r="H77" s="16" t="str">
        <f>IF(A77="","",IFERROR(TEXT(_xludf.maxifs(Completions!G:G,Completions!A:A,A77),"yyyy-mm-dd hh:mm"),"—"))</f>
        <v/>
      </c>
    </row>
    <row r="78" spans="1:8" ht="21.75" customHeight="1" x14ac:dyDescent="0.2">
      <c r="A78" s="17" t="str">
        <f>IFERROR(IF(Members!A75="","",Members!A75),"")</f>
        <v/>
      </c>
      <c r="B78" s="17" t="str">
        <f>IFERROR(IF(Members!A75="","",Members!B75),"")</f>
        <v/>
      </c>
      <c r="C78" s="17" t="str">
        <f>IFERROR(IF(Members!A75="","",Members!C75),"")</f>
        <v/>
      </c>
      <c r="D78" s="17" t="str">
        <f>IFERROR(IF(Members!A75="","",Members!D75),"")</f>
        <v/>
      </c>
      <c r="E78" s="17" t="str">
        <f>IF(A78="","",COUNTIF(Completions!A:A,A78))</f>
        <v/>
      </c>
      <c r="F78" s="17" t="str">
        <f>IF(A78="","",SUMPRODUCT((Completions!A$2:A$5000=A78)*IFERROR(VLOOKUP(Completions!B$2:B$5000,$J$4:$K$18,2,FALSE()),0)))</f>
        <v/>
      </c>
      <c r="G78" s="17" t="str">
        <f t="shared" si="1"/>
        <v/>
      </c>
      <c r="H78" s="17" t="str">
        <f>IF(A78="","",IFERROR(TEXT(_xludf.maxifs(Completions!G:G,Completions!A:A,A78),"yyyy-mm-dd hh:mm"),"—"))</f>
        <v/>
      </c>
    </row>
    <row r="79" spans="1:8" ht="21.75" customHeight="1" x14ac:dyDescent="0.2">
      <c r="A79" s="16" t="str">
        <f>IFERROR(IF(Members!A76="","",Members!A76),"")</f>
        <v/>
      </c>
      <c r="B79" s="16" t="str">
        <f>IFERROR(IF(Members!A76="","",Members!B76),"")</f>
        <v/>
      </c>
      <c r="C79" s="16" t="str">
        <f>IFERROR(IF(Members!A76="","",Members!C76),"")</f>
        <v/>
      </c>
      <c r="D79" s="16" t="str">
        <f>IFERROR(IF(Members!A76="","",Members!D76),"")</f>
        <v/>
      </c>
      <c r="E79" s="16" t="str">
        <f>IF(A79="","",COUNTIF(Completions!A:A,A79))</f>
        <v/>
      </c>
      <c r="F79" s="16" t="str">
        <f>IF(A79="","",SUMPRODUCT((Completions!A$2:A$5000=A79)*IFERROR(VLOOKUP(Completions!B$2:B$5000,$J$4:$K$18,2,FALSE()),0)))</f>
        <v/>
      </c>
      <c r="G79" s="16" t="str">
        <f t="shared" si="1"/>
        <v/>
      </c>
      <c r="H79" s="16" t="str">
        <f>IF(A79="","",IFERROR(TEXT(_xludf.maxifs(Completions!G:G,Completions!A:A,A79),"yyyy-mm-dd hh:mm"),"—"))</f>
        <v/>
      </c>
    </row>
    <row r="80" spans="1:8" ht="21.75" customHeight="1" x14ac:dyDescent="0.2">
      <c r="A80" s="17" t="str">
        <f>IFERROR(IF(Members!A77="","",Members!A77),"")</f>
        <v/>
      </c>
      <c r="B80" s="17" t="str">
        <f>IFERROR(IF(Members!A77="","",Members!B77),"")</f>
        <v/>
      </c>
      <c r="C80" s="17" t="str">
        <f>IFERROR(IF(Members!A77="","",Members!C77),"")</f>
        <v/>
      </c>
      <c r="D80" s="17" t="str">
        <f>IFERROR(IF(Members!A77="","",Members!D77),"")</f>
        <v/>
      </c>
      <c r="E80" s="17" t="str">
        <f>IF(A80="","",COUNTIF(Completions!A:A,A80))</f>
        <v/>
      </c>
      <c r="F80" s="17" t="str">
        <f>IF(A80="","",SUMPRODUCT((Completions!A$2:A$5000=A80)*IFERROR(VLOOKUP(Completions!B$2:B$5000,$J$4:$K$18,2,FALSE()),0)))</f>
        <v/>
      </c>
      <c r="G80" s="17" t="str">
        <f t="shared" si="1"/>
        <v/>
      </c>
      <c r="H80" s="17" t="str">
        <f>IF(A80="","",IFERROR(TEXT(_xludf.maxifs(Completions!G:G,Completions!A:A,A80),"yyyy-mm-dd hh:mm"),"—"))</f>
        <v/>
      </c>
    </row>
    <row r="81" spans="1:8" ht="21.75" customHeight="1" x14ac:dyDescent="0.2">
      <c r="A81" s="16" t="str">
        <f>IFERROR(IF(Members!A78="","",Members!A78),"")</f>
        <v/>
      </c>
      <c r="B81" s="16" t="str">
        <f>IFERROR(IF(Members!A78="","",Members!B78),"")</f>
        <v/>
      </c>
      <c r="C81" s="16" t="str">
        <f>IFERROR(IF(Members!A78="","",Members!C78),"")</f>
        <v/>
      </c>
      <c r="D81" s="16" t="str">
        <f>IFERROR(IF(Members!A78="","",Members!D78),"")</f>
        <v/>
      </c>
      <c r="E81" s="16" t="str">
        <f>IF(A81="","",COUNTIF(Completions!A:A,A81))</f>
        <v/>
      </c>
      <c r="F81" s="16" t="str">
        <f>IF(A81="","",SUMPRODUCT((Completions!A$2:A$5000=A81)*IFERROR(VLOOKUP(Completions!B$2:B$5000,$J$4:$K$18,2,FALSE()),0)))</f>
        <v/>
      </c>
      <c r="G81" s="16" t="str">
        <f t="shared" si="1"/>
        <v/>
      </c>
      <c r="H81" s="16" t="str">
        <f>IF(A81="","",IFERROR(TEXT(_xludf.maxifs(Completions!G:G,Completions!A:A,A81),"yyyy-mm-dd hh:mm"),"—"))</f>
        <v/>
      </c>
    </row>
    <row r="82" spans="1:8" ht="21.75" customHeight="1" x14ac:dyDescent="0.2">
      <c r="A82" s="17" t="str">
        <f>IFERROR(IF(Members!A79="","",Members!A79),"")</f>
        <v/>
      </c>
      <c r="B82" s="17" t="str">
        <f>IFERROR(IF(Members!A79="","",Members!B79),"")</f>
        <v/>
      </c>
      <c r="C82" s="17" t="str">
        <f>IFERROR(IF(Members!A79="","",Members!C79),"")</f>
        <v/>
      </c>
      <c r="D82" s="17" t="str">
        <f>IFERROR(IF(Members!A79="","",Members!D79),"")</f>
        <v/>
      </c>
      <c r="E82" s="17" t="str">
        <f>IF(A82="","",COUNTIF(Completions!A:A,A82))</f>
        <v/>
      </c>
      <c r="F82" s="17" t="str">
        <f>IF(A82="","",SUMPRODUCT((Completions!A$2:A$5000=A82)*IFERROR(VLOOKUP(Completions!B$2:B$5000,$J$4:$K$18,2,FALSE()),0)))</f>
        <v/>
      </c>
      <c r="G82" s="17" t="str">
        <f t="shared" si="1"/>
        <v/>
      </c>
      <c r="H82" s="17" t="str">
        <f>IF(A82="","",IFERROR(TEXT(_xludf.maxifs(Completions!G:G,Completions!A:A,A82),"yyyy-mm-dd hh:mm"),"—"))</f>
        <v/>
      </c>
    </row>
    <row r="83" spans="1:8" ht="21.75" customHeight="1" x14ac:dyDescent="0.2">
      <c r="A83" s="16" t="str">
        <f>IFERROR(IF(Members!A80="","",Members!A80),"")</f>
        <v/>
      </c>
      <c r="B83" s="16" t="str">
        <f>IFERROR(IF(Members!A80="","",Members!B80),"")</f>
        <v/>
      </c>
      <c r="C83" s="16" t="str">
        <f>IFERROR(IF(Members!A80="","",Members!C80),"")</f>
        <v/>
      </c>
      <c r="D83" s="16" t="str">
        <f>IFERROR(IF(Members!A80="","",Members!D80),"")</f>
        <v/>
      </c>
      <c r="E83" s="16" t="str">
        <f>IF(A83="","",COUNTIF(Completions!A:A,A83))</f>
        <v/>
      </c>
      <c r="F83" s="16" t="str">
        <f>IF(A83="","",SUMPRODUCT((Completions!A$2:A$5000=A83)*IFERROR(VLOOKUP(Completions!B$2:B$5000,$J$4:$K$18,2,FALSE()),0)))</f>
        <v/>
      </c>
      <c r="G83" s="16" t="str">
        <f t="shared" si="1"/>
        <v/>
      </c>
      <c r="H83" s="16" t="str">
        <f>IF(A83="","",IFERROR(TEXT(_xludf.maxifs(Completions!G:G,Completions!A:A,A83),"yyyy-mm-dd hh:mm"),"—"))</f>
        <v/>
      </c>
    </row>
    <row r="84" spans="1:8" ht="21.75" customHeight="1" x14ac:dyDescent="0.2">
      <c r="A84" s="17" t="str">
        <f>IFERROR(IF(Members!A81="","",Members!A81),"")</f>
        <v/>
      </c>
      <c r="B84" s="17" t="str">
        <f>IFERROR(IF(Members!A81="","",Members!B81),"")</f>
        <v/>
      </c>
      <c r="C84" s="17" t="str">
        <f>IFERROR(IF(Members!A81="","",Members!C81),"")</f>
        <v/>
      </c>
      <c r="D84" s="17" t="str">
        <f>IFERROR(IF(Members!A81="","",Members!D81),"")</f>
        <v/>
      </c>
      <c r="E84" s="17" t="str">
        <f>IF(A84="","",COUNTIF(Completions!A:A,A84))</f>
        <v/>
      </c>
      <c r="F84" s="17" t="str">
        <f>IF(A84="","",SUMPRODUCT((Completions!A$2:A$5000=A84)*IFERROR(VLOOKUP(Completions!B$2:B$5000,$J$4:$K$18,2,FALSE()),0)))</f>
        <v/>
      </c>
      <c r="G84" s="17" t="str">
        <f t="shared" si="1"/>
        <v/>
      </c>
      <c r="H84" s="17" t="str">
        <f>IF(A84="","",IFERROR(TEXT(_xludf.maxifs(Completions!G:G,Completions!A:A,A84),"yyyy-mm-dd hh:mm"),"—"))</f>
        <v/>
      </c>
    </row>
    <row r="85" spans="1:8" ht="21.75" customHeight="1" x14ac:dyDescent="0.2">
      <c r="A85" s="16" t="str">
        <f>IFERROR(IF(Members!A82="","",Members!A82),"")</f>
        <v/>
      </c>
      <c r="B85" s="16" t="str">
        <f>IFERROR(IF(Members!A82="","",Members!B82),"")</f>
        <v/>
      </c>
      <c r="C85" s="16" t="str">
        <f>IFERROR(IF(Members!A82="","",Members!C82),"")</f>
        <v/>
      </c>
      <c r="D85" s="16" t="str">
        <f>IFERROR(IF(Members!A82="","",Members!D82),"")</f>
        <v/>
      </c>
      <c r="E85" s="16" t="str">
        <f>IF(A85="","",COUNTIF(Completions!A:A,A85))</f>
        <v/>
      </c>
      <c r="F85" s="16" t="str">
        <f>IF(A85="","",SUMPRODUCT((Completions!A$2:A$5000=A85)*IFERROR(VLOOKUP(Completions!B$2:B$5000,$J$4:$K$18,2,FALSE()),0)))</f>
        <v/>
      </c>
      <c r="G85" s="16" t="str">
        <f t="shared" si="1"/>
        <v/>
      </c>
      <c r="H85" s="16" t="str">
        <f>IF(A85="","",IFERROR(TEXT(_xludf.maxifs(Completions!G:G,Completions!A:A,A85),"yyyy-mm-dd hh:mm"),"—"))</f>
        <v/>
      </c>
    </row>
    <row r="86" spans="1:8" ht="21.75" customHeight="1" x14ac:dyDescent="0.2">
      <c r="A86" s="17" t="str">
        <f>IFERROR(IF(Members!A83="","",Members!A83),"")</f>
        <v/>
      </c>
      <c r="B86" s="17" t="str">
        <f>IFERROR(IF(Members!A83="","",Members!B83),"")</f>
        <v/>
      </c>
      <c r="C86" s="17" t="str">
        <f>IFERROR(IF(Members!A83="","",Members!C83),"")</f>
        <v/>
      </c>
      <c r="D86" s="17" t="str">
        <f>IFERROR(IF(Members!A83="","",Members!D83),"")</f>
        <v/>
      </c>
      <c r="E86" s="17" t="str">
        <f>IF(A86="","",COUNTIF(Completions!A:A,A86))</f>
        <v/>
      </c>
      <c r="F86" s="17" t="str">
        <f>IF(A86="","",SUMPRODUCT((Completions!A$2:A$5000=A86)*IFERROR(VLOOKUP(Completions!B$2:B$5000,$J$4:$K$18,2,FALSE()),0)))</f>
        <v/>
      </c>
      <c r="G86" s="17" t="str">
        <f t="shared" si="1"/>
        <v/>
      </c>
      <c r="H86" s="17" t="str">
        <f>IF(A86="","",IFERROR(TEXT(_xludf.maxifs(Completions!G:G,Completions!A:A,A86),"yyyy-mm-dd hh:mm"),"—"))</f>
        <v/>
      </c>
    </row>
    <row r="87" spans="1:8" ht="21.75" customHeight="1" x14ac:dyDescent="0.2">
      <c r="A87" s="16" t="str">
        <f>IFERROR(IF(Members!A84="","",Members!A84),"")</f>
        <v/>
      </c>
      <c r="B87" s="16" t="str">
        <f>IFERROR(IF(Members!A84="","",Members!B84),"")</f>
        <v/>
      </c>
      <c r="C87" s="16" t="str">
        <f>IFERROR(IF(Members!A84="","",Members!C84),"")</f>
        <v/>
      </c>
      <c r="D87" s="16" t="str">
        <f>IFERROR(IF(Members!A84="","",Members!D84),"")</f>
        <v/>
      </c>
      <c r="E87" s="16" t="str">
        <f>IF(A87="","",COUNTIF(Completions!A:A,A87))</f>
        <v/>
      </c>
      <c r="F87" s="16" t="str">
        <f>IF(A87="","",SUMPRODUCT((Completions!A$2:A$5000=A87)*IFERROR(VLOOKUP(Completions!B$2:B$5000,$J$4:$K$18,2,FALSE()),0)))</f>
        <v/>
      </c>
      <c r="G87" s="16" t="str">
        <f t="shared" si="1"/>
        <v/>
      </c>
      <c r="H87" s="16" t="str">
        <f>IF(A87="","",IFERROR(TEXT(_xludf.maxifs(Completions!G:G,Completions!A:A,A87),"yyyy-mm-dd hh:mm"),"—"))</f>
        <v/>
      </c>
    </row>
    <row r="88" spans="1:8" ht="21.75" customHeight="1" x14ac:dyDescent="0.2">
      <c r="A88" s="17" t="str">
        <f>IFERROR(IF(Members!A85="","",Members!A85),"")</f>
        <v/>
      </c>
      <c r="B88" s="17" t="str">
        <f>IFERROR(IF(Members!A85="","",Members!B85),"")</f>
        <v/>
      </c>
      <c r="C88" s="17" t="str">
        <f>IFERROR(IF(Members!A85="","",Members!C85),"")</f>
        <v/>
      </c>
      <c r="D88" s="17" t="str">
        <f>IFERROR(IF(Members!A85="","",Members!D85),"")</f>
        <v/>
      </c>
      <c r="E88" s="17" t="str">
        <f>IF(A88="","",COUNTIF(Completions!A:A,A88))</f>
        <v/>
      </c>
      <c r="F88" s="17" t="str">
        <f>IF(A88="","",SUMPRODUCT((Completions!A$2:A$5000=A88)*IFERROR(VLOOKUP(Completions!B$2:B$5000,$J$4:$K$18,2,FALSE()),0)))</f>
        <v/>
      </c>
      <c r="G88" s="17" t="str">
        <f t="shared" si="1"/>
        <v/>
      </c>
      <c r="H88" s="17" t="str">
        <f>IF(A88="","",IFERROR(TEXT(_xludf.maxifs(Completions!G:G,Completions!A:A,A88),"yyyy-mm-dd hh:mm"),"—"))</f>
        <v/>
      </c>
    </row>
    <row r="89" spans="1:8" ht="21.75" customHeight="1" x14ac:dyDescent="0.2">
      <c r="A89" s="16" t="str">
        <f>IFERROR(IF(Members!A86="","",Members!A86),"")</f>
        <v/>
      </c>
      <c r="B89" s="16" t="str">
        <f>IFERROR(IF(Members!A86="","",Members!B86),"")</f>
        <v/>
      </c>
      <c r="C89" s="16" t="str">
        <f>IFERROR(IF(Members!A86="","",Members!C86),"")</f>
        <v/>
      </c>
      <c r="D89" s="16" t="str">
        <f>IFERROR(IF(Members!A86="","",Members!D86),"")</f>
        <v/>
      </c>
      <c r="E89" s="16" t="str">
        <f>IF(A89="","",COUNTIF(Completions!A:A,A89))</f>
        <v/>
      </c>
      <c r="F89" s="16" t="str">
        <f>IF(A89="","",SUMPRODUCT((Completions!A$2:A$5000=A89)*IFERROR(VLOOKUP(Completions!B$2:B$5000,$J$4:$K$18,2,FALSE()),0)))</f>
        <v/>
      </c>
      <c r="G89" s="16" t="str">
        <f t="shared" si="1"/>
        <v/>
      </c>
      <c r="H89" s="16" t="str">
        <f>IF(A89="","",IFERROR(TEXT(_xludf.maxifs(Completions!G:G,Completions!A:A,A89),"yyyy-mm-dd hh:mm"),"—"))</f>
        <v/>
      </c>
    </row>
    <row r="90" spans="1:8" ht="21.75" customHeight="1" x14ac:dyDescent="0.2">
      <c r="A90" s="17" t="str">
        <f>IFERROR(IF(Members!A87="","",Members!A87),"")</f>
        <v/>
      </c>
      <c r="B90" s="17" t="str">
        <f>IFERROR(IF(Members!A87="","",Members!B87),"")</f>
        <v/>
      </c>
      <c r="C90" s="17" t="str">
        <f>IFERROR(IF(Members!A87="","",Members!C87),"")</f>
        <v/>
      </c>
      <c r="D90" s="17" t="str">
        <f>IFERROR(IF(Members!A87="","",Members!D87),"")</f>
        <v/>
      </c>
      <c r="E90" s="17" t="str">
        <f>IF(A90="","",COUNTIF(Completions!A:A,A90))</f>
        <v/>
      </c>
      <c r="F90" s="17" t="str">
        <f>IF(A90="","",SUMPRODUCT((Completions!A$2:A$5000=A90)*IFERROR(VLOOKUP(Completions!B$2:B$5000,$J$4:$K$18,2,FALSE()),0)))</f>
        <v/>
      </c>
      <c r="G90" s="17" t="str">
        <f t="shared" si="1"/>
        <v/>
      </c>
      <c r="H90" s="17" t="str">
        <f>IF(A90="","",IFERROR(TEXT(_xludf.maxifs(Completions!G:G,Completions!A:A,A90),"yyyy-mm-dd hh:mm"),"—"))</f>
        <v/>
      </c>
    </row>
    <row r="91" spans="1:8" ht="21.75" customHeight="1" x14ac:dyDescent="0.2">
      <c r="A91" s="16" t="str">
        <f>IFERROR(IF(Members!A88="","",Members!A88),"")</f>
        <v/>
      </c>
      <c r="B91" s="16" t="str">
        <f>IFERROR(IF(Members!A88="","",Members!B88),"")</f>
        <v/>
      </c>
      <c r="C91" s="16" t="str">
        <f>IFERROR(IF(Members!A88="","",Members!C88),"")</f>
        <v/>
      </c>
      <c r="D91" s="16" t="str">
        <f>IFERROR(IF(Members!A88="","",Members!D88),"")</f>
        <v/>
      </c>
      <c r="E91" s="16" t="str">
        <f>IF(A91="","",COUNTIF(Completions!A:A,A91))</f>
        <v/>
      </c>
      <c r="F91" s="16" t="str">
        <f>IF(A91="","",SUMPRODUCT((Completions!A$2:A$5000=A91)*IFERROR(VLOOKUP(Completions!B$2:B$5000,$J$4:$K$18,2,FALSE()),0)))</f>
        <v/>
      </c>
      <c r="G91" s="16" t="str">
        <f t="shared" si="1"/>
        <v/>
      </c>
      <c r="H91" s="16" t="str">
        <f>IF(A91="","",IFERROR(TEXT(_xludf.maxifs(Completions!G:G,Completions!A:A,A91),"yyyy-mm-dd hh:mm"),"—"))</f>
        <v/>
      </c>
    </row>
    <row r="92" spans="1:8" ht="21.75" customHeight="1" x14ac:dyDescent="0.2">
      <c r="A92" s="17" t="str">
        <f>IFERROR(IF(Members!A89="","",Members!A89),"")</f>
        <v/>
      </c>
      <c r="B92" s="17" t="str">
        <f>IFERROR(IF(Members!A89="","",Members!B89),"")</f>
        <v/>
      </c>
      <c r="C92" s="17" t="str">
        <f>IFERROR(IF(Members!A89="","",Members!C89),"")</f>
        <v/>
      </c>
      <c r="D92" s="17" t="str">
        <f>IFERROR(IF(Members!A89="","",Members!D89),"")</f>
        <v/>
      </c>
      <c r="E92" s="17" t="str">
        <f>IF(A92="","",COUNTIF(Completions!A:A,A92))</f>
        <v/>
      </c>
      <c r="F92" s="17" t="str">
        <f>IF(A92="","",SUMPRODUCT((Completions!A$2:A$5000=A92)*IFERROR(VLOOKUP(Completions!B$2:B$5000,$J$4:$K$18,2,FALSE()),0)))</f>
        <v/>
      </c>
      <c r="G92" s="17" t="str">
        <f t="shared" si="1"/>
        <v/>
      </c>
      <c r="H92" s="17" t="str">
        <f>IF(A92="","",IFERROR(TEXT(_xludf.maxifs(Completions!G:G,Completions!A:A,A92),"yyyy-mm-dd hh:mm"),"—"))</f>
        <v/>
      </c>
    </row>
    <row r="93" spans="1:8" ht="21.75" customHeight="1" x14ac:dyDescent="0.2">
      <c r="A93" s="16" t="str">
        <f>IFERROR(IF(Members!A90="","",Members!A90),"")</f>
        <v/>
      </c>
      <c r="B93" s="16" t="str">
        <f>IFERROR(IF(Members!A90="","",Members!B90),"")</f>
        <v/>
      </c>
      <c r="C93" s="16" t="str">
        <f>IFERROR(IF(Members!A90="","",Members!C90),"")</f>
        <v/>
      </c>
      <c r="D93" s="16" t="str">
        <f>IFERROR(IF(Members!A90="","",Members!D90),"")</f>
        <v/>
      </c>
      <c r="E93" s="16" t="str">
        <f>IF(A93="","",COUNTIF(Completions!A:A,A93))</f>
        <v/>
      </c>
      <c r="F93" s="16" t="str">
        <f>IF(A93="","",SUMPRODUCT((Completions!A$2:A$5000=A93)*IFERROR(VLOOKUP(Completions!B$2:B$5000,$J$4:$K$18,2,FALSE()),0)))</f>
        <v/>
      </c>
      <c r="G93" s="16" t="str">
        <f t="shared" si="1"/>
        <v/>
      </c>
      <c r="H93" s="16" t="str">
        <f>IF(A93="","",IFERROR(TEXT(_xludf.maxifs(Completions!G:G,Completions!A:A,A93),"yyyy-mm-dd hh:mm"),"—"))</f>
        <v/>
      </c>
    </row>
    <row r="94" spans="1:8" ht="21.75" customHeight="1" x14ac:dyDescent="0.2">
      <c r="A94" s="17" t="str">
        <f>IFERROR(IF(Members!A91="","",Members!A91),"")</f>
        <v/>
      </c>
      <c r="B94" s="17" t="str">
        <f>IFERROR(IF(Members!A91="","",Members!B91),"")</f>
        <v/>
      </c>
      <c r="C94" s="17" t="str">
        <f>IFERROR(IF(Members!A91="","",Members!C91),"")</f>
        <v/>
      </c>
      <c r="D94" s="17" t="str">
        <f>IFERROR(IF(Members!A91="","",Members!D91),"")</f>
        <v/>
      </c>
      <c r="E94" s="17" t="str">
        <f>IF(A94="","",COUNTIF(Completions!A:A,A94))</f>
        <v/>
      </c>
      <c r="F94" s="17" t="str">
        <f>IF(A94="","",SUMPRODUCT((Completions!A$2:A$5000=A94)*IFERROR(VLOOKUP(Completions!B$2:B$5000,$J$4:$K$18,2,FALSE()),0)))</f>
        <v/>
      </c>
      <c r="G94" s="17" t="str">
        <f t="shared" si="1"/>
        <v/>
      </c>
      <c r="H94" s="17" t="str">
        <f>IF(A94="","",IFERROR(TEXT(_xludf.maxifs(Completions!G:G,Completions!A:A,A94),"yyyy-mm-dd hh:mm"),"—"))</f>
        <v/>
      </c>
    </row>
    <row r="95" spans="1:8" ht="21.75" customHeight="1" x14ac:dyDescent="0.2">
      <c r="A95" s="16" t="str">
        <f>IFERROR(IF(Members!A92="","",Members!A92),"")</f>
        <v/>
      </c>
      <c r="B95" s="16" t="str">
        <f>IFERROR(IF(Members!A92="","",Members!B92),"")</f>
        <v/>
      </c>
      <c r="C95" s="16" t="str">
        <f>IFERROR(IF(Members!A92="","",Members!C92),"")</f>
        <v/>
      </c>
      <c r="D95" s="16" t="str">
        <f>IFERROR(IF(Members!A92="","",Members!D92),"")</f>
        <v/>
      </c>
      <c r="E95" s="16" t="str">
        <f>IF(A95="","",COUNTIF(Completions!A:A,A95))</f>
        <v/>
      </c>
      <c r="F95" s="16" t="str">
        <f>IF(A95="","",SUMPRODUCT((Completions!A$2:A$5000=A95)*IFERROR(VLOOKUP(Completions!B$2:B$5000,$J$4:$K$18,2,FALSE()),0)))</f>
        <v/>
      </c>
      <c r="G95" s="16" t="str">
        <f t="shared" si="1"/>
        <v/>
      </c>
      <c r="H95" s="16" t="str">
        <f>IF(A95="","",IFERROR(TEXT(_xludf.maxifs(Completions!G:G,Completions!A:A,A95),"yyyy-mm-dd hh:mm"),"—"))</f>
        <v/>
      </c>
    </row>
    <row r="96" spans="1:8" ht="21.75" customHeight="1" x14ac:dyDescent="0.2">
      <c r="A96" s="17" t="str">
        <f>IFERROR(IF(Members!A93="","",Members!A93),"")</f>
        <v/>
      </c>
      <c r="B96" s="17" t="str">
        <f>IFERROR(IF(Members!A93="","",Members!B93),"")</f>
        <v/>
      </c>
      <c r="C96" s="17" t="str">
        <f>IFERROR(IF(Members!A93="","",Members!C93),"")</f>
        <v/>
      </c>
      <c r="D96" s="17" t="str">
        <f>IFERROR(IF(Members!A93="","",Members!D93),"")</f>
        <v/>
      </c>
      <c r="E96" s="17" t="str">
        <f>IF(A96="","",COUNTIF(Completions!A:A,A96))</f>
        <v/>
      </c>
      <c r="F96" s="17" t="str">
        <f>IF(A96="","",SUMPRODUCT((Completions!A$2:A$5000=A96)*IFERROR(VLOOKUP(Completions!B$2:B$5000,$J$4:$K$18,2,FALSE()),0)))</f>
        <v/>
      </c>
      <c r="G96" s="17" t="str">
        <f t="shared" si="1"/>
        <v/>
      </c>
      <c r="H96" s="17" t="str">
        <f>IF(A96="","",IFERROR(TEXT(_xludf.maxifs(Completions!G:G,Completions!A:A,A96),"yyyy-mm-dd hh:mm"),"—"))</f>
        <v/>
      </c>
    </row>
    <row r="97" spans="1:8" ht="21.75" customHeight="1" x14ac:dyDescent="0.2">
      <c r="A97" s="16" t="str">
        <f>IFERROR(IF(Members!A94="","",Members!A94),"")</f>
        <v/>
      </c>
      <c r="B97" s="16" t="str">
        <f>IFERROR(IF(Members!A94="","",Members!B94),"")</f>
        <v/>
      </c>
      <c r="C97" s="16" t="str">
        <f>IFERROR(IF(Members!A94="","",Members!C94),"")</f>
        <v/>
      </c>
      <c r="D97" s="16" t="str">
        <f>IFERROR(IF(Members!A94="","",Members!D94),"")</f>
        <v/>
      </c>
      <c r="E97" s="16" t="str">
        <f>IF(A97="","",COUNTIF(Completions!A:A,A97))</f>
        <v/>
      </c>
      <c r="F97" s="16" t="str">
        <f>IF(A97="","",SUMPRODUCT((Completions!A$2:A$5000=A97)*IFERROR(VLOOKUP(Completions!B$2:B$5000,$J$4:$K$18,2,FALSE()),0)))</f>
        <v/>
      </c>
      <c r="G97" s="16" t="str">
        <f t="shared" si="1"/>
        <v/>
      </c>
      <c r="H97" s="16" t="str">
        <f>IF(A97="","",IFERROR(TEXT(_xludf.maxifs(Completions!G:G,Completions!A:A,A97),"yyyy-mm-dd hh:mm"),"—"))</f>
        <v/>
      </c>
    </row>
    <row r="98" spans="1:8" ht="21.75" customHeight="1" x14ac:dyDescent="0.2">
      <c r="A98" s="17" t="str">
        <f>IFERROR(IF(Members!A95="","",Members!A95),"")</f>
        <v/>
      </c>
      <c r="B98" s="17" t="str">
        <f>IFERROR(IF(Members!A95="","",Members!B95),"")</f>
        <v/>
      </c>
      <c r="C98" s="17" t="str">
        <f>IFERROR(IF(Members!A95="","",Members!C95),"")</f>
        <v/>
      </c>
      <c r="D98" s="17" t="str">
        <f>IFERROR(IF(Members!A95="","",Members!D95),"")</f>
        <v/>
      </c>
      <c r="E98" s="17" t="str">
        <f>IF(A98="","",COUNTIF(Completions!A:A,A98))</f>
        <v/>
      </c>
      <c r="F98" s="17" t="str">
        <f>IF(A98="","",SUMPRODUCT((Completions!A$2:A$5000=A98)*IFERROR(VLOOKUP(Completions!B$2:B$5000,$J$4:$K$18,2,FALSE()),0)))</f>
        <v/>
      </c>
      <c r="G98" s="17" t="str">
        <f t="shared" si="1"/>
        <v/>
      </c>
      <c r="H98" s="17" t="str">
        <f>IF(A98="","",IFERROR(TEXT(_xludf.maxifs(Completions!G:G,Completions!A:A,A98),"yyyy-mm-dd hh:mm"),"—"))</f>
        <v/>
      </c>
    </row>
    <row r="99" spans="1:8" ht="21.75" customHeight="1" x14ac:dyDescent="0.2">
      <c r="A99" s="16" t="str">
        <f>IFERROR(IF(Members!A96="","",Members!A96),"")</f>
        <v/>
      </c>
      <c r="B99" s="16" t="str">
        <f>IFERROR(IF(Members!A96="","",Members!B96),"")</f>
        <v/>
      </c>
      <c r="C99" s="16" t="str">
        <f>IFERROR(IF(Members!A96="","",Members!C96),"")</f>
        <v/>
      </c>
      <c r="D99" s="16" t="str">
        <f>IFERROR(IF(Members!A96="","",Members!D96),"")</f>
        <v/>
      </c>
      <c r="E99" s="16" t="str">
        <f>IF(A99="","",COUNTIF(Completions!A:A,A99))</f>
        <v/>
      </c>
      <c r="F99" s="16" t="str">
        <f>IF(A99="","",SUMPRODUCT((Completions!A$2:A$5000=A99)*IFERROR(VLOOKUP(Completions!B$2:B$5000,$J$4:$K$18,2,FALSE()),0)))</f>
        <v/>
      </c>
      <c r="G99" s="16" t="str">
        <f t="shared" si="1"/>
        <v/>
      </c>
      <c r="H99" s="16" t="str">
        <f>IF(A99="","",IFERROR(TEXT(_xludf.maxifs(Completions!G:G,Completions!A:A,A99),"yyyy-mm-dd hh:mm"),"—"))</f>
        <v/>
      </c>
    </row>
    <row r="100" spans="1:8" ht="21.75" customHeight="1" x14ac:dyDescent="0.2">
      <c r="A100" s="17" t="str">
        <f>IFERROR(IF(Members!A97="","",Members!A97),"")</f>
        <v/>
      </c>
      <c r="B100" s="17" t="str">
        <f>IFERROR(IF(Members!A97="","",Members!B97),"")</f>
        <v/>
      </c>
      <c r="C100" s="17" t="str">
        <f>IFERROR(IF(Members!A97="","",Members!C97),"")</f>
        <v/>
      </c>
      <c r="D100" s="17" t="str">
        <f>IFERROR(IF(Members!A97="","",Members!D97),"")</f>
        <v/>
      </c>
      <c r="E100" s="17" t="str">
        <f>IF(A100="","",COUNTIF(Completions!A:A,A100))</f>
        <v/>
      </c>
      <c r="F100" s="17" t="str">
        <f>IF(A100="","",SUMPRODUCT((Completions!A$2:A$5000=A100)*IFERROR(VLOOKUP(Completions!B$2:B$5000,$J$4:$K$18,2,FALSE()),0)))</f>
        <v/>
      </c>
      <c r="G100" s="17" t="str">
        <f t="shared" si="1"/>
        <v/>
      </c>
      <c r="H100" s="17" t="str">
        <f>IF(A100="","",IFERROR(TEXT(_xludf.maxifs(Completions!G:G,Completions!A:A,A100),"yyyy-mm-dd hh:mm"),"—"))</f>
        <v/>
      </c>
    </row>
    <row r="101" spans="1:8" ht="21.75" customHeight="1" x14ac:dyDescent="0.2">
      <c r="A101" s="16" t="str">
        <f>IFERROR(IF(Members!A98="","",Members!A98),"")</f>
        <v/>
      </c>
      <c r="B101" s="16" t="str">
        <f>IFERROR(IF(Members!A98="","",Members!B98),"")</f>
        <v/>
      </c>
      <c r="C101" s="16" t="str">
        <f>IFERROR(IF(Members!A98="","",Members!C98),"")</f>
        <v/>
      </c>
      <c r="D101" s="16" t="str">
        <f>IFERROR(IF(Members!A98="","",Members!D98),"")</f>
        <v/>
      </c>
      <c r="E101" s="16" t="str">
        <f>IF(A101="","",COUNTIF(Completions!A:A,A101))</f>
        <v/>
      </c>
      <c r="F101" s="16" t="str">
        <f>IF(A101="","",SUMPRODUCT((Completions!A$2:A$5000=A101)*IFERROR(VLOOKUP(Completions!B$2:B$5000,$J$4:$K$18,2,FALSE()),0)))</f>
        <v/>
      </c>
      <c r="G101" s="16" t="str">
        <f t="shared" si="1"/>
        <v/>
      </c>
      <c r="H101" s="16" t="str">
        <f>IF(A101="","",IFERROR(TEXT(_xludf.maxifs(Completions!G:G,Completions!A:A,A101),"yyyy-mm-dd hh:mm"),"—"))</f>
        <v/>
      </c>
    </row>
    <row r="102" spans="1:8" ht="21.75" customHeight="1" x14ac:dyDescent="0.2">
      <c r="A102" s="17" t="str">
        <f>IFERROR(IF(Members!A99="","",Members!A99),"")</f>
        <v/>
      </c>
      <c r="B102" s="17" t="str">
        <f>IFERROR(IF(Members!A99="","",Members!B99),"")</f>
        <v/>
      </c>
      <c r="C102" s="17" t="str">
        <f>IFERROR(IF(Members!A99="","",Members!C99),"")</f>
        <v/>
      </c>
      <c r="D102" s="17" t="str">
        <f>IFERROR(IF(Members!A99="","",Members!D99),"")</f>
        <v/>
      </c>
      <c r="E102" s="17" t="str">
        <f>IF(A102="","",COUNTIF(Completions!A:A,A102))</f>
        <v/>
      </c>
      <c r="F102" s="17" t="str">
        <f>IF(A102="","",SUMPRODUCT((Completions!A$2:A$5000=A102)*IFERROR(VLOOKUP(Completions!B$2:B$5000,$J$4:$K$18,2,FALSE()),0)))</f>
        <v/>
      </c>
      <c r="G102" s="17" t="str">
        <f t="shared" si="1"/>
        <v/>
      </c>
      <c r="H102" s="17" t="str">
        <f>IF(A102="","",IFERROR(TEXT(_xludf.maxifs(Completions!G:G,Completions!A:A,A102),"yyyy-mm-dd hh:mm"),"—"))</f>
        <v/>
      </c>
    </row>
    <row r="103" spans="1:8" ht="21.75" customHeight="1" x14ac:dyDescent="0.2">
      <c r="A103" s="16" t="str">
        <f>IFERROR(IF(Members!A100="","",Members!A100),"")</f>
        <v/>
      </c>
      <c r="B103" s="16" t="str">
        <f>IFERROR(IF(Members!A100="","",Members!B100),"")</f>
        <v/>
      </c>
      <c r="C103" s="16" t="str">
        <f>IFERROR(IF(Members!A100="","",Members!C100),"")</f>
        <v/>
      </c>
      <c r="D103" s="16" t="str">
        <f>IFERROR(IF(Members!A100="","",Members!D100),"")</f>
        <v/>
      </c>
      <c r="E103" s="16" t="str">
        <f>IF(A103="","",COUNTIF(Completions!A:A,A103))</f>
        <v/>
      </c>
      <c r="F103" s="16" t="str">
        <f>IF(A103="","",SUMPRODUCT((Completions!A$2:A$5000=A103)*IFERROR(VLOOKUP(Completions!B$2:B$5000,$J$4:$K$18,2,FALSE()),0)))</f>
        <v/>
      </c>
      <c r="G103" s="16" t="str">
        <f t="shared" si="1"/>
        <v/>
      </c>
      <c r="H103" s="16" t="str">
        <f>IF(A103="","",IFERROR(TEXT(_xludf.maxifs(Completions!G:G,Completions!A:A,A103),"yyyy-mm-dd hh:mm"),"—"))</f>
        <v/>
      </c>
    </row>
    <row r="104" spans="1:8" ht="21.75" customHeight="1" x14ac:dyDescent="0.2">
      <c r="A104" s="17" t="str">
        <f>IFERROR(IF(Members!A101="","",Members!A101),"")</f>
        <v/>
      </c>
      <c r="B104" s="17" t="str">
        <f>IFERROR(IF(Members!A101="","",Members!B101),"")</f>
        <v/>
      </c>
      <c r="C104" s="17" t="str">
        <f>IFERROR(IF(Members!A101="","",Members!C101),"")</f>
        <v/>
      </c>
      <c r="D104" s="17" t="str">
        <f>IFERROR(IF(Members!A101="","",Members!D101),"")</f>
        <v/>
      </c>
      <c r="E104" s="17" t="str">
        <f>IF(A104="","",COUNTIF(Completions!A:A,A104))</f>
        <v/>
      </c>
      <c r="F104" s="17" t="str">
        <f>IF(A104="","",SUMPRODUCT((Completions!A$2:A$5000=A104)*IFERROR(VLOOKUP(Completions!B$2:B$5000,$J$4:$K$18,2,FALSE()),0)))</f>
        <v/>
      </c>
      <c r="G104" s="17" t="str">
        <f t="shared" si="1"/>
        <v/>
      </c>
      <c r="H104" s="17" t="str">
        <f>IF(A104="","",IFERROR(TEXT(_xludf.maxifs(Completions!G:G,Completions!A:A,A104),"yyyy-mm-dd hh:mm"),"—"))</f>
        <v/>
      </c>
    </row>
    <row r="105" spans="1:8" ht="21.75" customHeight="1" x14ac:dyDescent="0.2">
      <c r="A105" s="16" t="str">
        <f>IFERROR(IF(Members!A102="","",Members!A102),"")</f>
        <v/>
      </c>
      <c r="B105" s="16" t="str">
        <f>IFERROR(IF(Members!A102="","",Members!B102),"")</f>
        <v/>
      </c>
      <c r="C105" s="16" t="str">
        <f>IFERROR(IF(Members!A102="","",Members!C102),"")</f>
        <v/>
      </c>
      <c r="D105" s="16" t="str">
        <f>IFERROR(IF(Members!A102="","",Members!D102),"")</f>
        <v/>
      </c>
      <c r="E105" s="16" t="str">
        <f>IF(A105="","",COUNTIF(Completions!A:A,A105))</f>
        <v/>
      </c>
      <c r="F105" s="16" t="str">
        <f>IF(A105="","",SUMPRODUCT((Completions!A$2:A$5000=A105)*IFERROR(VLOOKUP(Completions!B$2:B$5000,$J$4:$K$18,2,FALSE()),0)))</f>
        <v/>
      </c>
      <c r="G105" s="16" t="str">
        <f t="shared" si="1"/>
        <v/>
      </c>
      <c r="H105" s="16" t="str">
        <f>IF(A105="","",IFERROR(TEXT(_xludf.maxifs(Completions!G:G,Completions!A:A,A105),"yyyy-mm-dd hh:mm"),"—"))</f>
        <v/>
      </c>
    </row>
    <row r="106" spans="1:8" ht="21.75" customHeight="1" x14ac:dyDescent="0.2">
      <c r="A106" s="17" t="str">
        <f>IFERROR(IF(Members!A103="","",Members!A103),"")</f>
        <v/>
      </c>
      <c r="B106" s="17" t="str">
        <f>IFERROR(IF(Members!A103="","",Members!B103),"")</f>
        <v/>
      </c>
      <c r="C106" s="17" t="str">
        <f>IFERROR(IF(Members!A103="","",Members!C103),"")</f>
        <v/>
      </c>
      <c r="D106" s="17" t="str">
        <f>IFERROR(IF(Members!A103="","",Members!D103),"")</f>
        <v/>
      </c>
      <c r="E106" s="17" t="str">
        <f>IF(A106="","",COUNTIF(Completions!A:A,A106))</f>
        <v/>
      </c>
      <c r="F106" s="17" t="str">
        <f>IF(A106="","",SUMPRODUCT((Completions!A$2:A$5000=A106)*IFERROR(VLOOKUP(Completions!B$2:B$5000,$J$4:$K$18,2,FALSE()),0)))</f>
        <v/>
      </c>
      <c r="G106" s="17" t="str">
        <f t="shared" si="1"/>
        <v/>
      </c>
      <c r="H106" s="17" t="str">
        <f>IF(A106="","",IFERROR(TEXT(_xludf.maxifs(Completions!G:G,Completions!A:A,A106),"yyyy-mm-dd hh:mm"),"—"))</f>
        <v/>
      </c>
    </row>
    <row r="107" spans="1:8" ht="21.75" customHeight="1" x14ac:dyDescent="0.2">
      <c r="A107" s="16" t="str">
        <f>IFERROR(IF(Members!A104="","",Members!A104),"")</f>
        <v/>
      </c>
      <c r="B107" s="16" t="str">
        <f>IFERROR(IF(Members!A104="","",Members!B104),"")</f>
        <v/>
      </c>
      <c r="C107" s="16" t="str">
        <f>IFERROR(IF(Members!A104="","",Members!C104),"")</f>
        <v/>
      </c>
      <c r="D107" s="16" t="str">
        <f>IFERROR(IF(Members!A104="","",Members!D104),"")</f>
        <v/>
      </c>
      <c r="E107" s="16" t="str">
        <f>IF(A107="","",COUNTIF(Completions!A:A,A107))</f>
        <v/>
      </c>
      <c r="F107" s="16" t="str">
        <f>IF(A107="","",SUMPRODUCT((Completions!A$2:A$5000=A107)*IFERROR(VLOOKUP(Completions!B$2:B$5000,$J$4:$K$18,2,FALSE()),0)))</f>
        <v/>
      </c>
      <c r="G107" s="16" t="str">
        <f t="shared" si="1"/>
        <v/>
      </c>
      <c r="H107" s="16" t="str">
        <f>IF(A107="","",IFERROR(TEXT(_xludf.maxifs(Completions!G:G,Completions!A:A,A107),"yyyy-mm-dd hh:mm"),"—"))</f>
        <v/>
      </c>
    </row>
    <row r="108" spans="1:8" ht="21.75" customHeight="1" x14ac:dyDescent="0.2">
      <c r="A108" s="17" t="str">
        <f>IFERROR(IF(Members!A105="","",Members!A105),"")</f>
        <v/>
      </c>
      <c r="B108" s="17" t="str">
        <f>IFERROR(IF(Members!A105="","",Members!B105),"")</f>
        <v/>
      </c>
      <c r="C108" s="17" t="str">
        <f>IFERROR(IF(Members!A105="","",Members!C105),"")</f>
        <v/>
      </c>
      <c r="D108" s="17" t="str">
        <f>IFERROR(IF(Members!A105="","",Members!D105),"")</f>
        <v/>
      </c>
      <c r="E108" s="17" t="str">
        <f>IF(A108="","",COUNTIF(Completions!A:A,A108))</f>
        <v/>
      </c>
      <c r="F108" s="17" t="str">
        <f>IF(A108="","",SUMPRODUCT((Completions!A$2:A$5000=A108)*IFERROR(VLOOKUP(Completions!B$2:B$5000,$J$4:$K$18,2,FALSE()),0)))</f>
        <v/>
      </c>
      <c r="G108" s="17" t="str">
        <f t="shared" si="1"/>
        <v/>
      </c>
      <c r="H108" s="17" t="str">
        <f>IF(A108="","",IFERROR(TEXT(_xludf.maxifs(Completions!G:G,Completions!A:A,A108),"yyyy-mm-dd hh:mm"),"—"))</f>
        <v/>
      </c>
    </row>
    <row r="109" spans="1:8" ht="21.75" customHeight="1" x14ac:dyDescent="0.2">
      <c r="A109" s="16" t="str">
        <f>IFERROR(IF(Members!A106="","",Members!A106),"")</f>
        <v/>
      </c>
      <c r="B109" s="16" t="str">
        <f>IFERROR(IF(Members!A106="","",Members!B106),"")</f>
        <v/>
      </c>
      <c r="C109" s="16" t="str">
        <f>IFERROR(IF(Members!A106="","",Members!C106),"")</f>
        <v/>
      </c>
      <c r="D109" s="16" t="str">
        <f>IFERROR(IF(Members!A106="","",Members!D106),"")</f>
        <v/>
      </c>
      <c r="E109" s="16" t="str">
        <f>IF(A109="","",COUNTIF(Completions!A:A,A109))</f>
        <v/>
      </c>
      <c r="F109" s="16" t="str">
        <f>IF(A109="","",SUMPRODUCT((Completions!A$2:A$5000=A109)*IFERROR(VLOOKUP(Completions!B$2:B$5000,$J$4:$K$18,2,FALSE()),0)))</f>
        <v/>
      </c>
      <c r="G109" s="16" t="str">
        <f t="shared" si="1"/>
        <v/>
      </c>
      <c r="H109" s="16" t="str">
        <f>IF(A109="","",IFERROR(TEXT(_xludf.maxifs(Completions!G:G,Completions!A:A,A109),"yyyy-mm-dd hh:mm"),"—"))</f>
        <v/>
      </c>
    </row>
    <row r="110" spans="1:8" ht="21.75" customHeight="1" x14ac:dyDescent="0.2">
      <c r="A110" s="17" t="str">
        <f>IFERROR(IF(Members!A107="","",Members!A107),"")</f>
        <v/>
      </c>
      <c r="B110" s="17" t="str">
        <f>IFERROR(IF(Members!A107="","",Members!B107),"")</f>
        <v/>
      </c>
      <c r="C110" s="17" t="str">
        <f>IFERROR(IF(Members!A107="","",Members!C107),"")</f>
        <v/>
      </c>
      <c r="D110" s="17" t="str">
        <f>IFERROR(IF(Members!A107="","",Members!D107),"")</f>
        <v/>
      </c>
      <c r="E110" s="17" t="str">
        <f>IF(A110="","",COUNTIF(Completions!A:A,A110))</f>
        <v/>
      </c>
      <c r="F110" s="17" t="str">
        <f>IF(A110="","",SUMPRODUCT((Completions!A$2:A$5000=A110)*IFERROR(VLOOKUP(Completions!B$2:B$5000,$J$4:$K$18,2,FALSE()),0)))</f>
        <v/>
      </c>
      <c r="G110" s="17" t="str">
        <f t="shared" si="1"/>
        <v/>
      </c>
      <c r="H110" s="17" t="str">
        <f>IF(A110="","",IFERROR(TEXT(_xludf.maxifs(Completions!G:G,Completions!A:A,A110),"yyyy-mm-dd hh:mm"),"—"))</f>
        <v/>
      </c>
    </row>
    <row r="111" spans="1:8" ht="21.75" customHeight="1" x14ac:dyDescent="0.2">
      <c r="A111" s="16" t="str">
        <f>IFERROR(IF(Members!A108="","",Members!A108),"")</f>
        <v/>
      </c>
      <c r="B111" s="16" t="str">
        <f>IFERROR(IF(Members!A108="","",Members!B108),"")</f>
        <v/>
      </c>
      <c r="C111" s="16" t="str">
        <f>IFERROR(IF(Members!A108="","",Members!C108),"")</f>
        <v/>
      </c>
      <c r="D111" s="16" t="str">
        <f>IFERROR(IF(Members!A108="","",Members!D108),"")</f>
        <v/>
      </c>
      <c r="E111" s="16" t="str">
        <f>IF(A111="","",COUNTIF(Completions!A:A,A111))</f>
        <v/>
      </c>
      <c r="F111" s="16" t="str">
        <f>IF(A111="","",SUMPRODUCT((Completions!A$2:A$5000=A111)*IFERROR(VLOOKUP(Completions!B$2:B$5000,$J$4:$K$18,2,FALSE()),0)))</f>
        <v/>
      </c>
      <c r="G111" s="16" t="str">
        <f t="shared" si="1"/>
        <v/>
      </c>
      <c r="H111" s="16" t="str">
        <f>IF(A111="","",IFERROR(TEXT(_xludf.maxifs(Completions!G:G,Completions!A:A,A111),"yyyy-mm-dd hh:mm"),"—"))</f>
        <v/>
      </c>
    </row>
    <row r="112" spans="1:8" ht="21.75" customHeight="1" x14ac:dyDescent="0.2">
      <c r="A112" s="17" t="str">
        <f>IFERROR(IF(Members!A109="","",Members!A109),"")</f>
        <v/>
      </c>
      <c r="B112" s="17" t="str">
        <f>IFERROR(IF(Members!A109="","",Members!B109),"")</f>
        <v/>
      </c>
      <c r="C112" s="17" t="str">
        <f>IFERROR(IF(Members!A109="","",Members!C109),"")</f>
        <v/>
      </c>
      <c r="D112" s="17" t="str">
        <f>IFERROR(IF(Members!A109="","",Members!D109),"")</f>
        <v/>
      </c>
      <c r="E112" s="17" t="str">
        <f>IF(A112="","",COUNTIF(Completions!A:A,A112))</f>
        <v/>
      </c>
      <c r="F112" s="17" t="str">
        <f>IF(A112="","",SUMPRODUCT((Completions!A$2:A$5000=A112)*IFERROR(VLOOKUP(Completions!B$2:B$5000,$J$4:$K$18,2,FALSE()),0)))</f>
        <v/>
      </c>
      <c r="G112" s="17" t="str">
        <f t="shared" si="1"/>
        <v/>
      </c>
      <c r="H112" s="17" t="str">
        <f>IF(A112="","",IFERROR(TEXT(_xludf.maxifs(Completions!G:G,Completions!A:A,A112),"yyyy-mm-dd hh:mm"),"—"))</f>
        <v/>
      </c>
    </row>
    <row r="113" spans="1:8" ht="21.75" customHeight="1" x14ac:dyDescent="0.2">
      <c r="A113" s="16" t="str">
        <f>IFERROR(IF(Members!A110="","",Members!A110),"")</f>
        <v/>
      </c>
      <c r="B113" s="16" t="str">
        <f>IFERROR(IF(Members!A110="","",Members!B110),"")</f>
        <v/>
      </c>
      <c r="C113" s="16" t="str">
        <f>IFERROR(IF(Members!A110="","",Members!C110),"")</f>
        <v/>
      </c>
      <c r="D113" s="16" t="str">
        <f>IFERROR(IF(Members!A110="","",Members!D110),"")</f>
        <v/>
      </c>
      <c r="E113" s="16" t="str">
        <f>IF(A113="","",COUNTIF(Completions!A:A,A113))</f>
        <v/>
      </c>
      <c r="F113" s="16" t="str">
        <f>IF(A113="","",SUMPRODUCT((Completions!A$2:A$5000=A113)*IFERROR(VLOOKUP(Completions!B$2:B$5000,$J$4:$K$18,2,FALSE()),0)))</f>
        <v/>
      </c>
      <c r="G113" s="16" t="str">
        <f t="shared" si="1"/>
        <v/>
      </c>
      <c r="H113" s="16" t="str">
        <f>IF(A113="","",IFERROR(TEXT(_xludf.maxifs(Completions!G:G,Completions!A:A,A113),"yyyy-mm-dd hh:mm"),"—"))</f>
        <v/>
      </c>
    </row>
    <row r="114" spans="1:8" ht="21.75" customHeight="1" x14ac:dyDescent="0.2">
      <c r="A114" s="17" t="str">
        <f>IFERROR(IF(Members!A111="","",Members!A111),"")</f>
        <v/>
      </c>
      <c r="B114" s="17" t="str">
        <f>IFERROR(IF(Members!A111="","",Members!B111),"")</f>
        <v/>
      </c>
      <c r="C114" s="17" t="str">
        <f>IFERROR(IF(Members!A111="","",Members!C111),"")</f>
        <v/>
      </c>
      <c r="D114" s="17" t="str">
        <f>IFERROR(IF(Members!A111="","",Members!D111),"")</f>
        <v/>
      </c>
      <c r="E114" s="17" t="str">
        <f>IF(A114="","",COUNTIF(Completions!A:A,A114))</f>
        <v/>
      </c>
      <c r="F114" s="17" t="str">
        <f>IF(A114="","",SUMPRODUCT((Completions!A$2:A$5000=A114)*IFERROR(VLOOKUP(Completions!B$2:B$5000,$J$4:$K$18,2,FALSE()),0)))</f>
        <v/>
      </c>
      <c r="G114" s="17" t="str">
        <f t="shared" si="1"/>
        <v/>
      </c>
      <c r="H114" s="17" t="str">
        <f>IF(A114="","",IFERROR(TEXT(_xludf.maxifs(Completions!G:G,Completions!A:A,A114),"yyyy-mm-dd hh:mm"),"—"))</f>
        <v/>
      </c>
    </row>
    <row r="115" spans="1:8" ht="21.75" customHeight="1" x14ac:dyDescent="0.2">
      <c r="A115" s="16" t="str">
        <f>IFERROR(IF(Members!A112="","",Members!A112),"")</f>
        <v/>
      </c>
      <c r="B115" s="16" t="str">
        <f>IFERROR(IF(Members!A112="","",Members!B112),"")</f>
        <v/>
      </c>
      <c r="C115" s="16" t="str">
        <f>IFERROR(IF(Members!A112="","",Members!C112),"")</f>
        <v/>
      </c>
      <c r="D115" s="16" t="str">
        <f>IFERROR(IF(Members!A112="","",Members!D112),"")</f>
        <v/>
      </c>
      <c r="E115" s="16" t="str">
        <f>IF(A115="","",COUNTIF(Completions!A:A,A115))</f>
        <v/>
      </c>
      <c r="F115" s="16" t="str">
        <f>IF(A115="","",SUMPRODUCT((Completions!A$2:A$5000=A115)*IFERROR(VLOOKUP(Completions!B$2:B$5000,$J$4:$K$18,2,FALSE()),0)))</f>
        <v/>
      </c>
      <c r="G115" s="16" t="str">
        <f t="shared" si="1"/>
        <v/>
      </c>
      <c r="H115" s="16" t="str">
        <f>IF(A115="","",IFERROR(TEXT(_xludf.maxifs(Completions!G:G,Completions!A:A,A115),"yyyy-mm-dd hh:mm"),"—"))</f>
        <v/>
      </c>
    </row>
    <row r="116" spans="1:8" ht="21.75" customHeight="1" x14ac:dyDescent="0.2">
      <c r="A116" s="17" t="str">
        <f>IFERROR(IF(Members!A113="","",Members!A113),"")</f>
        <v/>
      </c>
      <c r="B116" s="17" t="str">
        <f>IFERROR(IF(Members!A113="","",Members!B113),"")</f>
        <v/>
      </c>
      <c r="C116" s="17" t="str">
        <f>IFERROR(IF(Members!A113="","",Members!C113),"")</f>
        <v/>
      </c>
      <c r="D116" s="17" t="str">
        <f>IFERROR(IF(Members!A113="","",Members!D113),"")</f>
        <v/>
      </c>
      <c r="E116" s="17" t="str">
        <f>IF(A116="","",COUNTIF(Completions!A:A,A116))</f>
        <v/>
      </c>
      <c r="F116" s="17" t="str">
        <f>IF(A116="","",SUMPRODUCT((Completions!A$2:A$5000=A116)*IFERROR(VLOOKUP(Completions!B$2:B$5000,$J$4:$K$18,2,FALSE()),0)))</f>
        <v/>
      </c>
      <c r="G116" s="17" t="str">
        <f t="shared" si="1"/>
        <v/>
      </c>
      <c r="H116" s="17" t="str">
        <f>IF(A116="","",IFERROR(TEXT(_xludf.maxifs(Completions!G:G,Completions!A:A,A116),"yyyy-mm-dd hh:mm"),"—"))</f>
        <v/>
      </c>
    </row>
    <row r="117" spans="1:8" ht="21.75" customHeight="1" x14ac:dyDescent="0.2">
      <c r="A117" s="16" t="str">
        <f>IFERROR(IF(Members!A114="","",Members!A114),"")</f>
        <v/>
      </c>
      <c r="B117" s="16" t="str">
        <f>IFERROR(IF(Members!A114="","",Members!B114),"")</f>
        <v/>
      </c>
      <c r="C117" s="16" t="str">
        <f>IFERROR(IF(Members!A114="","",Members!C114),"")</f>
        <v/>
      </c>
      <c r="D117" s="16" t="str">
        <f>IFERROR(IF(Members!A114="","",Members!D114),"")</f>
        <v/>
      </c>
      <c r="E117" s="16" t="str">
        <f>IF(A117="","",COUNTIF(Completions!A:A,A117))</f>
        <v/>
      </c>
      <c r="F117" s="16" t="str">
        <f>IF(A117="","",SUMPRODUCT((Completions!A$2:A$5000=A117)*IFERROR(VLOOKUP(Completions!B$2:B$5000,$J$4:$K$18,2,FALSE()),0)))</f>
        <v/>
      </c>
      <c r="G117" s="16" t="str">
        <f t="shared" si="1"/>
        <v/>
      </c>
      <c r="H117" s="16" t="str">
        <f>IF(A117="","",IFERROR(TEXT(_xludf.maxifs(Completions!G:G,Completions!A:A,A117),"yyyy-mm-dd hh:mm"),"—"))</f>
        <v/>
      </c>
    </row>
    <row r="118" spans="1:8" ht="21.75" customHeight="1" x14ac:dyDescent="0.2">
      <c r="A118" s="17" t="str">
        <f>IFERROR(IF(Members!A115="","",Members!A115),"")</f>
        <v/>
      </c>
      <c r="B118" s="17" t="str">
        <f>IFERROR(IF(Members!A115="","",Members!B115),"")</f>
        <v/>
      </c>
      <c r="C118" s="17" t="str">
        <f>IFERROR(IF(Members!A115="","",Members!C115),"")</f>
        <v/>
      </c>
      <c r="D118" s="17" t="str">
        <f>IFERROR(IF(Members!A115="","",Members!D115),"")</f>
        <v/>
      </c>
      <c r="E118" s="17" t="str">
        <f>IF(A118="","",COUNTIF(Completions!A:A,A118))</f>
        <v/>
      </c>
      <c r="F118" s="17" t="str">
        <f>IF(A118="","",SUMPRODUCT((Completions!A$2:A$5000=A118)*IFERROR(VLOOKUP(Completions!B$2:B$5000,$J$4:$K$18,2,FALSE()),0)))</f>
        <v/>
      </c>
      <c r="G118" s="17" t="str">
        <f t="shared" si="1"/>
        <v/>
      </c>
      <c r="H118" s="17" t="str">
        <f>IF(A118="","",IFERROR(TEXT(_xludf.maxifs(Completions!G:G,Completions!A:A,A118),"yyyy-mm-dd hh:mm"),"—"))</f>
        <v/>
      </c>
    </row>
    <row r="119" spans="1:8" ht="21.75" customHeight="1" x14ac:dyDescent="0.2">
      <c r="A119" s="16" t="str">
        <f>IFERROR(IF(Members!A116="","",Members!A116),"")</f>
        <v/>
      </c>
      <c r="B119" s="16" t="str">
        <f>IFERROR(IF(Members!A116="","",Members!B116),"")</f>
        <v/>
      </c>
      <c r="C119" s="16" t="str">
        <f>IFERROR(IF(Members!A116="","",Members!C116),"")</f>
        <v/>
      </c>
      <c r="D119" s="16" t="str">
        <f>IFERROR(IF(Members!A116="","",Members!D116),"")</f>
        <v/>
      </c>
      <c r="E119" s="16" t="str">
        <f>IF(A119="","",COUNTIF(Completions!A:A,A119))</f>
        <v/>
      </c>
      <c r="F119" s="16" t="str">
        <f>IF(A119="","",SUMPRODUCT((Completions!A$2:A$5000=A119)*IFERROR(VLOOKUP(Completions!B$2:B$5000,$J$4:$K$18,2,FALSE()),0)))</f>
        <v/>
      </c>
      <c r="G119" s="16" t="str">
        <f t="shared" si="1"/>
        <v/>
      </c>
      <c r="H119" s="16" t="str">
        <f>IF(A119="","",IFERROR(TEXT(_xludf.maxifs(Completions!G:G,Completions!A:A,A119),"yyyy-mm-dd hh:mm"),"—"))</f>
        <v/>
      </c>
    </row>
    <row r="120" spans="1:8" ht="21.75" customHeight="1" x14ac:dyDescent="0.2">
      <c r="A120" s="17" t="str">
        <f>IFERROR(IF(Members!A117="","",Members!A117),"")</f>
        <v/>
      </c>
      <c r="B120" s="17" t="str">
        <f>IFERROR(IF(Members!A117="","",Members!B117),"")</f>
        <v/>
      </c>
      <c r="C120" s="17" t="str">
        <f>IFERROR(IF(Members!A117="","",Members!C117),"")</f>
        <v/>
      </c>
      <c r="D120" s="17" t="str">
        <f>IFERROR(IF(Members!A117="","",Members!D117),"")</f>
        <v/>
      </c>
      <c r="E120" s="17" t="str">
        <f>IF(A120="","",COUNTIF(Completions!A:A,A120))</f>
        <v/>
      </c>
      <c r="F120" s="17" t="str">
        <f>IF(A120="","",SUMPRODUCT((Completions!A$2:A$5000=A120)*IFERROR(VLOOKUP(Completions!B$2:B$5000,$J$4:$K$18,2,FALSE()),0)))</f>
        <v/>
      </c>
      <c r="G120" s="17" t="str">
        <f t="shared" si="1"/>
        <v/>
      </c>
      <c r="H120" s="17" t="str">
        <f>IF(A120="","",IFERROR(TEXT(_xludf.maxifs(Completions!G:G,Completions!A:A,A120),"yyyy-mm-dd hh:mm"),"—"))</f>
        <v/>
      </c>
    </row>
    <row r="121" spans="1:8" ht="21.75" customHeight="1" x14ac:dyDescent="0.2">
      <c r="A121" s="16" t="str">
        <f>IFERROR(IF(Members!A118="","",Members!A118),"")</f>
        <v/>
      </c>
      <c r="B121" s="16" t="str">
        <f>IFERROR(IF(Members!A118="","",Members!B118),"")</f>
        <v/>
      </c>
      <c r="C121" s="16" t="str">
        <f>IFERROR(IF(Members!A118="","",Members!C118),"")</f>
        <v/>
      </c>
      <c r="D121" s="16" t="str">
        <f>IFERROR(IF(Members!A118="","",Members!D118),"")</f>
        <v/>
      </c>
      <c r="E121" s="16" t="str">
        <f>IF(A121="","",COUNTIF(Completions!A:A,A121))</f>
        <v/>
      </c>
      <c r="F121" s="16" t="str">
        <f>IF(A121="","",SUMPRODUCT((Completions!A$2:A$5000=A121)*IFERROR(VLOOKUP(Completions!B$2:B$5000,$J$4:$K$18,2,FALSE()),0)))</f>
        <v/>
      </c>
      <c r="G121" s="16" t="str">
        <f t="shared" si="1"/>
        <v/>
      </c>
      <c r="H121" s="16" t="str">
        <f>IF(A121="","",IFERROR(TEXT(_xludf.maxifs(Completions!G:G,Completions!A:A,A121),"yyyy-mm-dd hh:mm"),"—"))</f>
        <v/>
      </c>
    </row>
    <row r="122" spans="1:8" ht="21.75" customHeight="1" x14ac:dyDescent="0.2">
      <c r="A122" s="17" t="str">
        <f>IFERROR(IF(Members!A119="","",Members!A119),"")</f>
        <v/>
      </c>
      <c r="B122" s="17" t="str">
        <f>IFERROR(IF(Members!A119="","",Members!B119),"")</f>
        <v/>
      </c>
      <c r="C122" s="17" t="str">
        <f>IFERROR(IF(Members!A119="","",Members!C119),"")</f>
        <v/>
      </c>
      <c r="D122" s="17" t="str">
        <f>IFERROR(IF(Members!A119="","",Members!D119),"")</f>
        <v/>
      </c>
      <c r="E122" s="17" t="str">
        <f>IF(A122="","",COUNTIF(Completions!A:A,A122))</f>
        <v/>
      </c>
      <c r="F122" s="17" t="str">
        <f>IF(A122="","",SUMPRODUCT((Completions!A$2:A$5000=A122)*IFERROR(VLOOKUP(Completions!B$2:B$5000,$J$4:$K$18,2,FALSE()),0)))</f>
        <v/>
      </c>
      <c r="G122" s="17" t="str">
        <f t="shared" si="1"/>
        <v/>
      </c>
      <c r="H122" s="17" t="str">
        <f>IF(A122="","",IFERROR(TEXT(_xludf.maxifs(Completions!G:G,Completions!A:A,A122),"yyyy-mm-dd hh:mm"),"—"))</f>
        <v/>
      </c>
    </row>
    <row r="123" spans="1:8" ht="21.75" customHeight="1" x14ac:dyDescent="0.2">
      <c r="A123" s="16" t="str">
        <f>IFERROR(IF(Members!A120="","",Members!A120),"")</f>
        <v/>
      </c>
      <c r="B123" s="16" t="str">
        <f>IFERROR(IF(Members!A120="","",Members!B120),"")</f>
        <v/>
      </c>
      <c r="C123" s="16" t="str">
        <f>IFERROR(IF(Members!A120="","",Members!C120),"")</f>
        <v/>
      </c>
      <c r="D123" s="16" t="str">
        <f>IFERROR(IF(Members!A120="","",Members!D120),"")</f>
        <v/>
      </c>
      <c r="E123" s="16" t="str">
        <f>IF(A123="","",COUNTIF(Completions!A:A,A123))</f>
        <v/>
      </c>
      <c r="F123" s="16" t="str">
        <f>IF(A123="","",SUMPRODUCT((Completions!A$2:A$5000=A123)*IFERROR(VLOOKUP(Completions!B$2:B$5000,$J$4:$K$18,2,FALSE()),0)))</f>
        <v/>
      </c>
      <c r="G123" s="16" t="str">
        <f t="shared" si="1"/>
        <v/>
      </c>
      <c r="H123" s="16" t="str">
        <f>IF(A123="","",IFERROR(TEXT(_xludf.maxifs(Completions!G:G,Completions!A:A,A123),"yyyy-mm-dd hh:mm"),"—"))</f>
        <v/>
      </c>
    </row>
    <row r="124" spans="1:8" ht="21.75" customHeight="1" x14ac:dyDescent="0.2">
      <c r="A124" s="17" t="str">
        <f>IFERROR(IF(Members!A121="","",Members!A121),"")</f>
        <v/>
      </c>
      <c r="B124" s="17" t="str">
        <f>IFERROR(IF(Members!A121="","",Members!B121),"")</f>
        <v/>
      </c>
      <c r="C124" s="17" t="str">
        <f>IFERROR(IF(Members!A121="","",Members!C121),"")</f>
        <v/>
      </c>
      <c r="D124" s="17" t="str">
        <f>IFERROR(IF(Members!A121="","",Members!D121),"")</f>
        <v/>
      </c>
      <c r="E124" s="17" t="str">
        <f>IF(A124="","",COUNTIF(Completions!A:A,A124))</f>
        <v/>
      </c>
      <c r="F124" s="17" t="str">
        <f>IF(A124="","",SUMPRODUCT((Completions!A$2:A$5000=A124)*IFERROR(VLOOKUP(Completions!B$2:B$5000,$J$4:$K$18,2,FALSE()),0)))</f>
        <v/>
      </c>
      <c r="G124" s="17" t="str">
        <f t="shared" si="1"/>
        <v/>
      </c>
      <c r="H124" s="17" t="str">
        <f>IF(A124="","",IFERROR(TEXT(_xludf.maxifs(Completions!G:G,Completions!A:A,A124),"yyyy-mm-dd hh:mm"),"—"))</f>
        <v/>
      </c>
    </row>
    <row r="125" spans="1:8" ht="21.75" customHeight="1" x14ac:dyDescent="0.2">
      <c r="A125" s="16" t="str">
        <f>IFERROR(IF(Members!A122="","",Members!A122),"")</f>
        <v/>
      </c>
      <c r="B125" s="16" t="str">
        <f>IFERROR(IF(Members!A122="","",Members!B122),"")</f>
        <v/>
      </c>
      <c r="C125" s="16" t="str">
        <f>IFERROR(IF(Members!A122="","",Members!C122),"")</f>
        <v/>
      </c>
      <c r="D125" s="16" t="str">
        <f>IFERROR(IF(Members!A122="","",Members!D122),"")</f>
        <v/>
      </c>
      <c r="E125" s="16" t="str">
        <f>IF(A125="","",COUNTIF(Completions!A:A,A125))</f>
        <v/>
      </c>
      <c r="F125" s="16" t="str">
        <f>IF(A125="","",SUMPRODUCT((Completions!A$2:A$5000=A125)*IFERROR(VLOOKUP(Completions!B$2:B$5000,$J$4:$K$18,2,FALSE()),0)))</f>
        <v/>
      </c>
      <c r="G125" s="16" t="str">
        <f t="shared" si="1"/>
        <v/>
      </c>
      <c r="H125" s="16" t="str">
        <f>IF(A125="","",IFERROR(TEXT(_xludf.maxifs(Completions!G:G,Completions!A:A,A125),"yyyy-mm-dd hh:mm"),"—"))</f>
        <v/>
      </c>
    </row>
    <row r="126" spans="1:8" ht="21.75" customHeight="1" x14ac:dyDescent="0.2">
      <c r="A126" s="17" t="str">
        <f>IFERROR(IF(Members!A123="","",Members!A123),"")</f>
        <v/>
      </c>
      <c r="B126" s="17" t="str">
        <f>IFERROR(IF(Members!A123="","",Members!B123),"")</f>
        <v/>
      </c>
      <c r="C126" s="17" t="str">
        <f>IFERROR(IF(Members!A123="","",Members!C123),"")</f>
        <v/>
      </c>
      <c r="D126" s="17" t="str">
        <f>IFERROR(IF(Members!A123="","",Members!D123),"")</f>
        <v/>
      </c>
      <c r="E126" s="17" t="str">
        <f>IF(A126="","",COUNTIF(Completions!A:A,A126))</f>
        <v/>
      </c>
      <c r="F126" s="17" t="str">
        <f>IF(A126="","",SUMPRODUCT((Completions!A$2:A$5000=A126)*IFERROR(VLOOKUP(Completions!B$2:B$5000,$J$4:$K$18,2,FALSE()),0)))</f>
        <v/>
      </c>
      <c r="G126" s="17" t="str">
        <f t="shared" si="1"/>
        <v/>
      </c>
      <c r="H126" s="17" t="str">
        <f>IF(A126="","",IFERROR(TEXT(_xludf.maxifs(Completions!G:G,Completions!A:A,A126),"yyyy-mm-dd hh:mm"),"—"))</f>
        <v/>
      </c>
    </row>
    <row r="127" spans="1:8" ht="21.75" customHeight="1" x14ac:dyDescent="0.2">
      <c r="A127" s="16" t="str">
        <f>IFERROR(IF(Members!A124="","",Members!A124),"")</f>
        <v/>
      </c>
      <c r="B127" s="16" t="str">
        <f>IFERROR(IF(Members!A124="","",Members!B124),"")</f>
        <v/>
      </c>
      <c r="C127" s="16" t="str">
        <f>IFERROR(IF(Members!A124="","",Members!C124),"")</f>
        <v/>
      </c>
      <c r="D127" s="16" t="str">
        <f>IFERROR(IF(Members!A124="","",Members!D124),"")</f>
        <v/>
      </c>
      <c r="E127" s="16" t="str">
        <f>IF(A127="","",COUNTIF(Completions!A:A,A127))</f>
        <v/>
      </c>
      <c r="F127" s="16" t="str">
        <f>IF(A127="","",SUMPRODUCT((Completions!A$2:A$5000=A127)*IFERROR(VLOOKUP(Completions!B$2:B$5000,$J$4:$K$18,2,FALSE()),0)))</f>
        <v/>
      </c>
      <c r="G127" s="16" t="str">
        <f t="shared" si="1"/>
        <v/>
      </c>
      <c r="H127" s="16" t="str">
        <f>IF(A127="","",IFERROR(TEXT(_xludf.maxifs(Completions!G:G,Completions!A:A,A127),"yyyy-mm-dd hh:mm"),"—"))</f>
        <v/>
      </c>
    </row>
    <row r="128" spans="1:8" ht="21.75" customHeight="1" x14ac:dyDescent="0.2">
      <c r="A128" s="17" t="str">
        <f>IFERROR(IF(Members!A125="","",Members!A125),"")</f>
        <v/>
      </c>
      <c r="B128" s="17" t="str">
        <f>IFERROR(IF(Members!A125="","",Members!B125),"")</f>
        <v/>
      </c>
      <c r="C128" s="17" t="str">
        <f>IFERROR(IF(Members!A125="","",Members!C125),"")</f>
        <v/>
      </c>
      <c r="D128" s="17" t="str">
        <f>IFERROR(IF(Members!A125="","",Members!D125),"")</f>
        <v/>
      </c>
      <c r="E128" s="17" t="str">
        <f>IF(A128="","",COUNTIF(Completions!A:A,A128))</f>
        <v/>
      </c>
      <c r="F128" s="17" t="str">
        <f>IF(A128="","",SUMPRODUCT((Completions!A$2:A$5000=A128)*IFERROR(VLOOKUP(Completions!B$2:B$5000,$J$4:$K$18,2,FALSE()),0)))</f>
        <v/>
      </c>
      <c r="G128" s="17" t="str">
        <f t="shared" si="1"/>
        <v/>
      </c>
      <c r="H128" s="17" t="str">
        <f>IF(A128="","",IFERROR(TEXT(_xludf.maxifs(Completions!G:G,Completions!A:A,A128),"yyyy-mm-dd hh:mm"),"—"))</f>
        <v/>
      </c>
    </row>
    <row r="129" spans="1:8" ht="21.75" customHeight="1" x14ac:dyDescent="0.2">
      <c r="A129" s="16" t="str">
        <f>IFERROR(IF(Members!A126="","",Members!A126),"")</f>
        <v/>
      </c>
      <c r="B129" s="16" t="str">
        <f>IFERROR(IF(Members!A126="","",Members!B126),"")</f>
        <v/>
      </c>
      <c r="C129" s="16" t="str">
        <f>IFERROR(IF(Members!A126="","",Members!C126),"")</f>
        <v/>
      </c>
      <c r="D129" s="16" t="str">
        <f>IFERROR(IF(Members!A126="","",Members!D126),"")</f>
        <v/>
      </c>
      <c r="E129" s="16" t="str">
        <f>IF(A129="","",COUNTIF(Completions!A:A,A129))</f>
        <v/>
      </c>
      <c r="F129" s="16" t="str">
        <f>IF(A129="","",SUMPRODUCT((Completions!A$2:A$5000=A129)*IFERROR(VLOOKUP(Completions!B$2:B$5000,$J$4:$K$18,2,FALSE()),0)))</f>
        <v/>
      </c>
      <c r="G129" s="16" t="str">
        <f t="shared" si="1"/>
        <v/>
      </c>
      <c r="H129" s="16" t="str">
        <f>IF(A129="","",IFERROR(TEXT(_xludf.maxifs(Completions!G:G,Completions!A:A,A129),"yyyy-mm-dd hh:mm"),"—"))</f>
        <v/>
      </c>
    </row>
    <row r="130" spans="1:8" ht="21.75" customHeight="1" x14ac:dyDescent="0.2">
      <c r="A130" s="17" t="str">
        <f>IFERROR(IF(Members!A127="","",Members!A127),"")</f>
        <v/>
      </c>
      <c r="B130" s="17" t="str">
        <f>IFERROR(IF(Members!A127="","",Members!B127),"")</f>
        <v/>
      </c>
      <c r="C130" s="17" t="str">
        <f>IFERROR(IF(Members!A127="","",Members!C127),"")</f>
        <v/>
      </c>
      <c r="D130" s="17" t="str">
        <f>IFERROR(IF(Members!A127="","",Members!D127),"")</f>
        <v/>
      </c>
      <c r="E130" s="17" t="str">
        <f>IF(A130="","",COUNTIF(Completions!A:A,A130))</f>
        <v/>
      </c>
      <c r="F130" s="17" t="str">
        <f>IF(A130="","",SUMPRODUCT((Completions!A$2:A$5000=A130)*IFERROR(VLOOKUP(Completions!B$2:B$5000,$J$4:$K$18,2,FALSE()),0)))</f>
        <v/>
      </c>
      <c r="G130" s="17" t="str">
        <f t="shared" si="1"/>
        <v/>
      </c>
      <c r="H130" s="17" t="str">
        <f>IF(A130="","",IFERROR(TEXT(_xludf.maxifs(Completions!G:G,Completions!A:A,A130),"yyyy-mm-dd hh:mm"),"—"))</f>
        <v/>
      </c>
    </row>
    <row r="131" spans="1:8" ht="21.75" customHeight="1" x14ac:dyDescent="0.2">
      <c r="A131" s="16" t="str">
        <f>IFERROR(IF(Members!A128="","",Members!A128),"")</f>
        <v/>
      </c>
      <c r="B131" s="16" t="str">
        <f>IFERROR(IF(Members!A128="","",Members!B128),"")</f>
        <v/>
      </c>
      <c r="C131" s="16" t="str">
        <f>IFERROR(IF(Members!A128="","",Members!C128),"")</f>
        <v/>
      </c>
      <c r="D131" s="16" t="str">
        <f>IFERROR(IF(Members!A128="","",Members!D128),"")</f>
        <v/>
      </c>
      <c r="E131" s="16" t="str">
        <f>IF(A131="","",COUNTIF(Completions!A:A,A131))</f>
        <v/>
      </c>
      <c r="F131" s="16" t="str">
        <f>IF(A131="","",SUMPRODUCT((Completions!A$2:A$5000=A131)*IFERROR(VLOOKUP(Completions!B$2:B$5000,$J$4:$K$18,2,FALSE()),0)))</f>
        <v/>
      </c>
      <c r="G131" s="16" t="str">
        <f t="shared" si="1"/>
        <v/>
      </c>
      <c r="H131" s="16" t="str">
        <f>IF(A131="","",IFERROR(TEXT(_xludf.maxifs(Completions!G:G,Completions!A:A,A131),"yyyy-mm-dd hh:mm"),"—"))</f>
        <v/>
      </c>
    </row>
    <row r="132" spans="1:8" ht="21.75" customHeight="1" x14ac:dyDescent="0.2">
      <c r="A132" s="17" t="str">
        <f>IFERROR(IF(Members!A129="","",Members!A129),"")</f>
        <v/>
      </c>
      <c r="B132" s="17" t="str">
        <f>IFERROR(IF(Members!A129="","",Members!B129),"")</f>
        <v/>
      </c>
      <c r="C132" s="17" t="str">
        <f>IFERROR(IF(Members!A129="","",Members!C129),"")</f>
        <v/>
      </c>
      <c r="D132" s="17" t="str">
        <f>IFERROR(IF(Members!A129="","",Members!D129),"")</f>
        <v/>
      </c>
      <c r="E132" s="17" t="str">
        <f>IF(A132="","",COUNTIF(Completions!A:A,A132))</f>
        <v/>
      </c>
      <c r="F132" s="17" t="str">
        <f>IF(A132="","",SUMPRODUCT((Completions!A$2:A$5000=A132)*IFERROR(VLOOKUP(Completions!B$2:B$5000,$J$4:$K$18,2,FALSE()),0)))</f>
        <v/>
      </c>
      <c r="G132" s="17" t="str">
        <f t="shared" si="1"/>
        <v/>
      </c>
      <c r="H132" s="17" t="str">
        <f>IF(A132="","",IFERROR(TEXT(_xludf.maxifs(Completions!G:G,Completions!A:A,A132),"yyyy-mm-dd hh:mm"),"—"))</f>
        <v/>
      </c>
    </row>
    <row r="133" spans="1:8" ht="21.75" customHeight="1" x14ac:dyDescent="0.2">
      <c r="A133" s="16" t="str">
        <f>IFERROR(IF(Members!A130="","",Members!A130),"")</f>
        <v/>
      </c>
      <c r="B133" s="16" t="str">
        <f>IFERROR(IF(Members!A130="","",Members!B130),"")</f>
        <v/>
      </c>
      <c r="C133" s="16" t="str">
        <f>IFERROR(IF(Members!A130="","",Members!C130),"")</f>
        <v/>
      </c>
      <c r="D133" s="16" t="str">
        <f>IFERROR(IF(Members!A130="","",Members!D130),"")</f>
        <v/>
      </c>
      <c r="E133" s="16" t="str">
        <f>IF(A133="","",COUNTIF(Completions!A:A,A133))</f>
        <v/>
      </c>
      <c r="F133" s="16" t="str">
        <f>IF(A133="","",SUMPRODUCT((Completions!A$2:A$5000=A133)*IFERROR(VLOOKUP(Completions!B$2:B$5000,$J$4:$K$18,2,FALSE()),0)))</f>
        <v/>
      </c>
      <c r="G133" s="16" t="str">
        <f t="shared" ref="G133:G196" si="2">IF(A133="","",IF(F133&gt;=20,"Gold",IF(F133&gt;=14,"Silver",IF(F133&gt;=8,"Bronze","—"))))</f>
        <v/>
      </c>
      <c r="H133" s="16" t="str">
        <f>IF(A133="","",IFERROR(TEXT(_xludf.maxifs(Completions!G:G,Completions!A:A,A133),"yyyy-mm-dd hh:mm"),"—"))</f>
        <v/>
      </c>
    </row>
    <row r="134" spans="1:8" ht="21.75" customHeight="1" x14ac:dyDescent="0.2">
      <c r="A134" s="17" t="str">
        <f>IFERROR(IF(Members!A131="","",Members!A131),"")</f>
        <v/>
      </c>
      <c r="B134" s="17" t="str">
        <f>IFERROR(IF(Members!A131="","",Members!B131),"")</f>
        <v/>
      </c>
      <c r="C134" s="17" t="str">
        <f>IFERROR(IF(Members!A131="","",Members!C131),"")</f>
        <v/>
      </c>
      <c r="D134" s="17" t="str">
        <f>IFERROR(IF(Members!A131="","",Members!D131),"")</f>
        <v/>
      </c>
      <c r="E134" s="17" t="str">
        <f>IF(A134="","",COUNTIF(Completions!A:A,A134))</f>
        <v/>
      </c>
      <c r="F134" s="17" t="str">
        <f>IF(A134="","",SUMPRODUCT((Completions!A$2:A$5000=A134)*IFERROR(VLOOKUP(Completions!B$2:B$5000,$J$4:$K$18,2,FALSE()),0)))</f>
        <v/>
      </c>
      <c r="G134" s="17" t="str">
        <f t="shared" si="2"/>
        <v/>
      </c>
      <c r="H134" s="17" t="str">
        <f>IF(A134="","",IFERROR(TEXT(_xludf.maxifs(Completions!G:G,Completions!A:A,A134),"yyyy-mm-dd hh:mm"),"—"))</f>
        <v/>
      </c>
    </row>
    <row r="135" spans="1:8" ht="21.75" customHeight="1" x14ac:dyDescent="0.2">
      <c r="A135" s="16" t="str">
        <f>IFERROR(IF(Members!A132="","",Members!A132),"")</f>
        <v/>
      </c>
      <c r="B135" s="16" t="str">
        <f>IFERROR(IF(Members!A132="","",Members!B132),"")</f>
        <v/>
      </c>
      <c r="C135" s="16" t="str">
        <f>IFERROR(IF(Members!A132="","",Members!C132),"")</f>
        <v/>
      </c>
      <c r="D135" s="16" t="str">
        <f>IFERROR(IF(Members!A132="","",Members!D132),"")</f>
        <v/>
      </c>
      <c r="E135" s="16" t="str">
        <f>IF(A135="","",COUNTIF(Completions!A:A,A135))</f>
        <v/>
      </c>
      <c r="F135" s="16" t="str">
        <f>IF(A135="","",SUMPRODUCT((Completions!A$2:A$5000=A135)*IFERROR(VLOOKUP(Completions!B$2:B$5000,$J$4:$K$18,2,FALSE()),0)))</f>
        <v/>
      </c>
      <c r="G135" s="16" t="str">
        <f t="shared" si="2"/>
        <v/>
      </c>
      <c r="H135" s="16" t="str">
        <f>IF(A135="","",IFERROR(TEXT(_xludf.maxifs(Completions!G:G,Completions!A:A,A135),"yyyy-mm-dd hh:mm"),"—"))</f>
        <v/>
      </c>
    </row>
    <row r="136" spans="1:8" ht="21.75" customHeight="1" x14ac:dyDescent="0.2">
      <c r="A136" s="17" t="str">
        <f>IFERROR(IF(Members!A133="","",Members!A133),"")</f>
        <v/>
      </c>
      <c r="B136" s="17" t="str">
        <f>IFERROR(IF(Members!A133="","",Members!B133),"")</f>
        <v/>
      </c>
      <c r="C136" s="17" t="str">
        <f>IFERROR(IF(Members!A133="","",Members!C133),"")</f>
        <v/>
      </c>
      <c r="D136" s="17" t="str">
        <f>IFERROR(IF(Members!A133="","",Members!D133),"")</f>
        <v/>
      </c>
      <c r="E136" s="17" t="str">
        <f>IF(A136="","",COUNTIF(Completions!A:A,A136))</f>
        <v/>
      </c>
      <c r="F136" s="17" t="str">
        <f>IF(A136="","",SUMPRODUCT((Completions!A$2:A$5000=A136)*IFERROR(VLOOKUP(Completions!B$2:B$5000,$J$4:$K$18,2,FALSE()),0)))</f>
        <v/>
      </c>
      <c r="G136" s="17" t="str">
        <f t="shared" si="2"/>
        <v/>
      </c>
      <c r="H136" s="17" t="str">
        <f>IF(A136="","",IFERROR(TEXT(_xludf.maxifs(Completions!G:G,Completions!A:A,A136),"yyyy-mm-dd hh:mm"),"—"))</f>
        <v/>
      </c>
    </row>
    <row r="137" spans="1:8" ht="21.75" customHeight="1" x14ac:dyDescent="0.2">
      <c r="A137" s="16" t="str">
        <f>IFERROR(IF(Members!A134="","",Members!A134),"")</f>
        <v/>
      </c>
      <c r="B137" s="16" t="str">
        <f>IFERROR(IF(Members!A134="","",Members!B134),"")</f>
        <v/>
      </c>
      <c r="C137" s="16" t="str">
        <f>IFERROR(IF(Members!A134="","",Members!C134),"")</f>
        <v/>
      </c>
      <c r="D137" s="16" t="str">
        <f>IFERROR(IF(Members!A134="","",Members!D134),"")</f>
        <v/>
      </c>
      <c r="E137" s="16" t="str">
        <f>IF(A137="","",COUNTIF(Completions!A:A,A137))</f>
        <v/>
      </c>
      <c r="F137" s="16" t="str">
        <f>IF(A137="","",SUMPRODUCT((Completions!A$2:A$5000=A137)*IFERROR(VLOOKUP(Completions!B$2:B$5000,$J$4:$K$18,2,FALSE()),0)))</f>
        <v/>
      </c>
      <c r="G137" s="16" t="str">
        <f t="shared" si="2"/>
        <v/>
      </c>
      <c r="H137" s="16" t="str">
        <f>IF(A137="","",IFERROR(TEXT(_xludf.maxifs(Completions!G:G,Completions!A:A,A137),"yyyy-mm-dd hh:mm"),"—"))</f>
        <v/>
      </c>
    </row>
    <row r="138" spans="1:8" ht="21.75" customHeight="1" x14ac:dyDescent="0.2">
      <c r="A138" s="17" t="str">
        <f>IFERROR(IF(Members!A135="","",Members!A135),"")</f>
        <v/>
      </c>
      <c r="B138" s="17" t="str">
        <f>IFERROR(IF(Members!A135="","",Members!B135),"")</f>
        <v/>
      </c>
      <c r="C138" s="17" t="str">
        <f>IFERROR(IF(Members!A135="","",Members!C135),"")</f>
        <v/>
      </c>
      <c r="D138" s="17" t="str">
        <f>IFERROR(IF(Members!A135="","",Members!D135),"")</f>
        <v/>
      </c>
      <c r="E138" s="17" t="str">
        <f>IF(A138="","",COUNTIF(Completions!A:A,A138))</f>
        <v/>
      </c>
      <c r="F138" s="17" t="str">
        <f>IF(A138="","",SUMPRODUCT((Completions!A$2:A$5000=A138)*IFERROR(VLOOKUP(Completions!B$2:B$5000,$J$4:$K$18,2,FALSE()),0)))</f>
        <v/>
      </c>
      <c r="G138" s="17" t="str">
        <f t="shared" si="2"/>
        <v/>
      </c>
      <c r="H138" s="17" t="str">
        <f>IF(A138="","",IFERROR(TEXT(_xludf.maxifs(Completions!G:G,Completions!A:A,A138),"yyyy-mm-dd hh:mm"),"—"))</f>
        <v/>
      </c>
    </row>
    <row r="139" spans="1:8" ht="21.75" customHeight="1" x14ac:dyDescent="0.2">
      <c r="A139" s="16" t="str">
        <f>IFERROR(IF(Members!A136="","",Members!A136),"")</f>
        <v/>
      </c>
      <c r="B139" s="16" t="str">
        <f>IFERROR(IF(Members!A136="","",Members!B136),"")</f>
        <v/>
      </c>
      <c r="C139" s="16" t="str">
        <f>IFERROR(IF(Members!A136="","",Members!C136),"")</f>
        <v/>
      </c>
      <c r="D139" s="16" t="str">
        <f>IFERROR(IF(Members!A136="","",Members!D136),"")</f>
        <v/>
      </c>
      <c r="E139" s="16" t="str">
        <f>IF(A139="","",COUNTIF(Completions!A:A,A139))</f>
        <v/>
      </c>
      <c r="F139" s="16" t="str">
        <f>IF(A139="","",SUMPRODUCT((Completions!A$2:A$5000=A139)*IFERROR(VLOOKUP(Completions!B$2:B$5000,$J$4:$K$18,2,FALSE()),0)))</f>
        <v/>
      </c>
      <c r="G139" s="16" t="str">
        <f t="shared" si="2"/>
        <v/>
      </c>
      <c r="H139" s="16" t="str">
        <f>IF(A139="","",IFERROR(TEXT(_xludf.maxifs(Completions!G:G,Completions!A:A,A139),"yyyy-mm-dd hh:mm"),"—"))</f>
        <v/>
      </c>
    </row>
    <row r="140" spans="1:8" ht="21.75" customHeight="1" x14ac:dyDescent="0.2">
      <c r="A140" s="17" t="str">
        <f>IFERROR(IF(Members!A137="","",Members!A137),"")</f>
        <v/>
      </c>
      <c r="B140" s="17" t="str">
        <f>IFERROR(IF(Members!A137="","",Members!B137),"")</f>
        <v/>
      </c>
      <c r="C140" s="17" t="str">
        <f>IFERROR(IF(Members!A137="","",Members!C137),"")</f>
        <v/>
      </c>
      <c r="D140" s="17" t="str">
        <f>IFERROR(IF(Members!A137="","",Members!D137),"")</f>
        <v/>
      </c>
      <c r="E140" s="17" t="str">
        <f>IF(A140="","",COUNTIF(Completions!A:A,A140))</f>
        <v/>
      </c>
      <c r="F140" s="17" t="str">
        <f>IF(A140="","",SUMPRODUCT((Completions!A$2:A$5000=A140)*IFERROR(VLOOKUP(Completions!B$2:B$5000,$J$4:$K$18,2,FALSE()),0)))</f>
        <v/>
      </c>
      <c r="G140" s="17" t="str">
        <f t="shared" si="2"/>
        <v/>
      </c>
      <c r="H140" s="17" t="str">
        <f>IF(A140="","",IFERROR(TEXT(_xludf.maxifs(Completions!G:G,Completions!A:A,A140),"yyyy-mm-dd hh:mm"),"—"))</f>
        <v/>
      </c>
    </row>
    <row r="141" spans="1:8" ht="21.75" customHeight="1" x14ac:dyDescent="0.2">
      <c r="A141" s="16" t="str">
        <f>IFERROR(IF(Members!A138="","",Members!A138),"")</f>
        <v/>
      </c>
      <c r="B141" s="16" t="str">
        <f>IFERROR(IF(Members!A138="","",Members!B138),"")</f>
        <v/>
      </c>
      <c r="C141" s="16" t="str">
        <f>IFERROR(IF(Members!A138="","",Members!C138),"")</f>
        <v/>
      </c>
      <c r="D141" s="16" t="str">
        <f>IFERROR(IF(Members!A138="","",Members!D138),"")</f>
        <v/>
      </c>
      <c r="E141" s="16" t="str">
        <f>IF(A141="","",COUNTIF(Completions!A:A,A141))</f>
        <v/>
      </c>
      <c r="F141" s="16" t="str">
        <f>IF(A141="","",SUMPRODUCT((Completions!A$2:A$5000=A141)*IFERROR(VLOOKUP(Completions!B$2:B$5000,$J$4:$K$18,2,FALSE()),0)))</f>
        <v/>
      </c>
      <c r="G141" s="16" t="str">
        <f t="shared" si="2"/>
        <v/>
      </c>
      <c r="H141" s="16" t="str">
        <f>IF(A141="","",IFERROR(TEXT(_xludf.maxifs(Completions!G:G,Completions!A:A,A141),"yyyy-mm-dd hh:mm"),"—"))</f>
        <v/>
      </c>
    </row>
    <row r="142" spans="1:8" ht="21.75" customHeight="1" x14ac:dyDescent="0.2">
      <c r="A142" s="17" t="str">
        <f>IFERROR(IF(Members!A139="","",Members!A139),"")</f>
        <v/>
      </c>
      <c r="B142" s="17" t="str">
        <f>IFERROR(IF(Members!A139="","",Members!B139),"")</f>
        <v/>
      </c>
      <c r="C142" s="17" t="str">
        <f>IFERROR(IF(Members!A139="","",Members!C139),"")</f>
        <v/>
      </c>
      <c r="D142" s="17" t="str">
        <f>IFERROR(IF(Members!A139="","",Members!D139),"")</f>
        <v/>
      </c>
      <c r="E142" s="17" t="str">
        <f>IF(A142="","",COUNTIF(Completions!A:A,A142))</f>
        <v/>
      </c>
      <c r="F142" s="17" t="str">
        <f>IF(A142="","",SUMPRODUCT((Completions!A$2:A$5000=A142)*IFERROR(VLOOKUP(Completions!B$2:B$5000,$J$4:$K$18,2,FALSE()),0)))</f>
        <v/>
      </c>
      <c r="G142" s="17" t="str">
        <f t="shared" si="2"/>
        <v/>
      </c>
      <c r="H142" s="17" t="str">
        <f>IF(A142="","",IFERROR(TEXT(_xludf.maxifs(Completions!G:G,Completions!A:A,A142),"yyyy-mm-dd hh:mm"),"—"))</f>
        <v/>
      </c>
    </row>
    <row r="143" spans="1:8" ht="21.75" customHeight="1" x14ac:dyDescent="0.2">
      <c r="A143" s="16" t="str">
        <f>IFERROR(IF(Members!A140="","",Members!A140),"")</f>
        <v/>
      </c>
      <c r="B143" s="16" t="str">
        <f>IFERROR(IF(Members!A140="","",Members!B140),"")</f>
        <v/>
      </c>
      <c r="C143" s="16" t="str">
        <f>IFERROR(IF(Members!A140="","",Members!C140),"")</f>
        <v/>
      </c>
      <c r="D143" s="16" t="str">
        <f>IFERROR(IF(Members!A140="","",Members!D140),"")</f>
        <v/>
      </c>
      <c r="E143" s="16" t="str">
        <f>IF(A143="","",COUNTIF(Completions!A:A,A143))</f>
        <v/>
      </c>
      <c r="F143" s="16" t="str">
        <f>IF(A143="","",SUMPRODUCT((Completions!A$2:A$5000=A143)*IFERROR(VLOOKUP(Completions!B$2:B$5000,$J$4:$K$18,2,FALSE()),0)))</f>
        <v/>
      </c>
      <c r="G143" s="16" t="str">
        <f t="shared" si="2"/>
        <v/>
      </c>
      <c r="H143" s="16" t="str">
        <f>IF(A143="","",IFERROR(TEXT(_xludf.maxifs(Completions!G:G,Completions!A:A,A143),"yyyy-mm-dd hh:mm"),"—"))</f>
        <v/>
      </c>
    </row>
    <row r="144" spans="1:8" ht="21.75" customHeight="1" x14ac:dyDescent="0.2">
      <c r="A144" s="17" t="str">
        <f>IFERROR(IF(Members!A141="","",Members!A141),"")</f>
        <v/>
      </c>
      <c r="B144" s="17" t="str">
        <f>IFERROR(IF(Members!A141="","",Members!B141),"")</f>
        <v/>
      </c>
      <c r="C144" s="17" t="str">
        <f>IFERROR(IF(Members!A141="","",Members!C141),"")</f>
        <v/>
      </c>
      <c r="D144" s="17" t="str">
        <f>IFERROR(IF(Members!A141="","",Members!D141),"")</f>
        <v/>
      </c>
      <c r="E144" s="17" t="str">
        <f>IF(A144="","",COUNTIF(Completions!A:A,A144))</f>
        <v/>
      </c>
      <c r="F144" s="17" t="str">
        <f>IF(A144="","",SUMPRODUCT((Completions!A$2:A$5000=A144)*IFERROR(VLOOKUP(Completions!B$2:B$5000,$J$4:$K$18,2,FALSE()),0)))</f>
        <v/>
      </c>
      <c r="G144" s="17" t="str">
        <f t="shared" si="2"/>
        <v/>
      </c>
      <c r="H144" s="17" t="str">
        <f>IF(A144="","",IFERROR(TEXT(_xludf.maxifs(Completions!G:G,Completions!A:A,A144),"yyyy-mm-dd hh:mm"),"—"))</f>
        <v/>
      </c>
    </row>
    <row r="145" spans="1:8" ht="21.75" customHeight="1" x14ac:dyDescent="0.2">
      <c r="A145" s="16" t="str">
        <f>IFERROR(IF(Members!A142="","",Members!A142),"")</f>
        <v/>
      </c>
      <c r="B145" s="16" t="str">
        <f>IFERROR(IF(Members!A142="","",Members!B142),"")</f>
        <v/>
      </c>
      <c r="C145" s="16" t="str">
        <f>IFERROR(IF(Members!A142="","",Members!C142),"")</f>
        <v/>
      </c>
      <c r="D145" s="16" t="str">
        <f>IFERROR(IF(Members!A142="","",Members!D142),"")</f>
        <v/>
      </c>
      <c r="E145" s="16" t="str">
        <f>IF(A145="","",COUNTIF(Completions!A:A,A145))</f>
        <v/>
      </c>
      <c r="F145" s="16" t="str">
        <f>IF(A145="","",SUMPRODUCT((Completions!A$2:A$5000=A145)*IFERROR(VLOOKUP(Completions!B$2:B$5000,$J$4:$K$18,2,FALSE()),0)))</f>
        <v/>
      </c>
      <c r="G145" s="16" t="str">
        <f t="shared" si="2"/>
        <v/>
      </c>
      <c r="H145" s="16" t="str">
        <f>IF(A145="","",IFERROR(TEXT(_xludf.maxifs(Completions!G:G,Completions!A:A,A145),"yyyy-mm-dd hh:mm"),"—"))</f>
        <v/>
      </c>
    </row>
    <row r="146" spans="1:8" ht="21.75" customHeight="1" x14ac:dyDescent="0.2">
      <c r="A146" s="17" t="str">
        <f>IFERROR(IF(Members!A143="","",Members!A143),"")</f>
        <v/>
      </c>
      <c r="B146" s="17" t="str">
        <f>IFERROR(IF(Members!A143="","",Members!B143),"")</f>
        <v/>
      </c>
      <c r="C146" s="17" t="str">
        <f>IFERROR(IF(Members!A143="","",Members!C143),"")</f>
        <v/>
      </c>
      <c r="D146" s="17" t="str">
        <f>IFERROR(IF(Members!A143="","",Members!D143),"")</f>
        <v/>
      </c>
      <c r="E146" s="17" t="str">
        <f>IF(A146="","",COUNTIF(Completions!A:A,A146))</f>
        <v/>
      </c>
      <c r="F146" s="17" t="str">
        <f>IF(A146="","",SUMPRODUCT((Completions!A$2:A$5000=A146)*IFERROR(VLOOKUP(Completions!B$2:B$5000,$J$4:$K$18,2,FALSE()),0)))</f>
        <v/>
      </c>
      <c r="G146" s="17" t="str">
        <f t="shared" si="2"/>
        <v/>
      </c>
      <c r="H146" s="17" t="str">
        <f>IF(A146="","",IFERROR(TEXT(_xludf.maxifs(Completions!G:G,Completions!A:A,A146),"yyyy-mm-dd hh:mm"),"—"))</f>
        <v/>
      </c>
    </row>
    <row r="147" spans="1:8" ht="21.75" customHeight="1" x14ac:dyDescent="0.2">
      <c r="A147" s="16" t="str">
        <f>IFERROR(IF(Members!A144="","",Members!A144),"")</f>
        <v/>
      </c>
      <c r="B147" s="16" t="str">
        <f>IFERROR(IF(Members!A144="","",Members!B144),"")</f>
        <v/>
      </c>
      <c r="C147" s="16" t="str">
        <f>IFERROR(IF(Members!A144="","",Members!C144),"")</f>
        <v/>
      </c>
      <c r="D147" s="16" t="str">
        <f>IFERROR(IF(Members!A144="","",Members!D144),"")</f>
        <v/>
      </c>
      <c r="E147" s="16" t="str">
        <f>IF(A147="","",COUNTIF(Completions!A:A,A147))</f>
        <v/>
      </c>
      <c r="F147" s="16" t="str">
        <f>IF(A147="","",SUMPRODUCT((Completions!A$2:A$5000=A147)*IFERROR(VLOOKUP(Completions!B$2:B$5000,$J$4:$K$18,2,FALSE()),0)))</f>
        <v/>
      </c>
      <c r="G147" s="16" t="str">
        <f t="shared" si="2"/>
        <v/>
      </c>
      <c r="H147" s="16" t="str">
        <f>IF(A147="","",IFERROR(TEXT(_xludf.maxifs(Completions!G:G,Completions!A:A,A147),"yyyy-mm-dd hh:mm"),"—"))</f>
        <v/>
      </c>
    </row>
    <row r="148" spans="1:8" ht="21.75" customHeight="1" x14ac:dyDescent="0.2">
      <c r="A148" s="17" t="str">
        <f>IFERROR(IF(Members!A145="","",Members!A145),"")</f>
        <v/>
      </c>
      <c r="B148" s="17" t="str">
        <f>IFERROR(IF(Members!A145="","",Members!B145),"")</f>
        <v/>
      </c>
      <c r="C148" s="17" t="str">
        <f>IFERROR(IF(Members!A145="","",Members!C145),"")</f>
        <v/>
      </c>
      <c r="D148" s="17" t="str">
        <f>IFERROR(IF(Members!A145="","",Members!D145),"")</f>
        <v/>
      </c>
      <c r="E148" s="17" t="str">
        <f>IF(A148="","",COUNTIF(Completions!A:A,A148))</f>
        <v/>
      </c>
      <c r="F148" s="17" t="str">
        <f>IF(A148="","",SUMPRODUCT((Completions!A$2:A$5000=A148)*IFERROR(VLOOKUP(Completions!B$2:B$5000,$J$4:$K$18,2,FALSE()),0)))</f>
        <v/>
      </c>
      <c r="G148" s="17" t="str">
        <f t="shared" si="2"/>
        <v/>
      </c>
      <c r="H148" s="17" t="str">
        <f>IF(A148="","",IFERROR(TEXT(_xludf.maxifs(Completions!G:G,Completions!A:A,A148),"yyyy-mm-dd hh:mm"),"—"))</f>
        <v/>
      </c>
    </row>
    <row r="149" spans="1:8" ht="21.75" customHeight="1" x14ac:dyDescent="0.2">
      <c r="A149" s="16" t="str">
        <f>IFERROR(IF(Members!A146="","",Members!A146),"")</f>
        <v/>
      </c>
      <c r="B149" s="16" t="str">
        <f>IFERROR(IF(Members!A146="","",Members!B146),"")</f>
        <v/>
      </c>
      <c r="C149" s="16" t="str">
        <f>IFERROR(IF(Members!A146="","",Members!C146),"")</f>
        <v/>
      </c>
      <c r="D149" s="16" t="str">
        <f>IFERROR(IF(Members!A146="","",Members!D146),"")</f>
        <v/>
      </c>
      <c r="E149" s="16" t="str">
        <f>IF(A149="","",COUNTIF(Completions!A:A,A149))</f>
        <v/>
      </c>
      <c r="F149" s="16" t="str">
        <f>IF(A149="","",SUMPRODUCT((Completions!A$2:A$5000=A149)*IFERROR(VLOOKUP(Completions!B$2:B$5000,$J$4:$K$18,2,FALSE()),0)))</f>
        <v/>
      </c>
      <c r="G149" s="16" t="str">
        <f t="shared" si="2"/>
        <v/>
      </c>
      <c r="H149" s="16" t="str">
        <f>IF(A149="","",IFERROR(TEXT(_xludf.maxifs(Completions!G:G,Completions!A:A,A149),"yyyy-mm-dd hh:mm"),"—"))</f>
        <v/>
      </c>
    </row>
    <row r="150" spans="1:8" ht="21.75" customHeight="1" x14ac:dyDescent="0.2">
      <c r="A150" s="17" t="str">
        <f>IFERROR(IF(Members!A147="","",Members!A147),"")</f>
        <v/>
      </c>
      <c r="B150" s="17" t="str">
        <f>IFERROR(IF(Members!A147="","",Members!B147),"")</f>
        <v/>
      </c>
      <c r="C150" s="17" t="str">
        <f>IFERROR(IF(Members!A147="","",Members!C147),"")</f>
        <v/>
      </c>
      <c r="D150" s="17" t="str">
        <f>IFERROR(IF(Members!A147="","",Members!D147),"")</f>
        <v/>
      </c>
      <c r="E150" s="17" t="str">
        <f>IF(A150="","",COUNTIF(Completions!A:A,A150))</f>
        <v/>
      </c>
      <c r="F150" s="17" t="str">
        <f>IF(A150="","",SUMPRODUCT((Completions!A$2:A$5000=A150)*IFERROR(VLOOKUP(Completions!B$2:B$5000,$J$4:$K$18,2,FALSE()),0)))</f>
        <v/>
      </c>
      <c r="G150" s="17" t="str">
        <f t="shared" si="2"/>
        <v/>
      </c>
      <c r="H150" s="17" t="str">
        <f>IF(A150="","",IFERROR(TEXT(_xludf.maxifs(Completions!G:G,Completions!A:A,A150),"yyyy-mm-dd hh:mm"),"—"))</f>
        <v/>
      </c>
    </row>
    <row r="151" spans="1:8" ht="21.75" customHeight="1" x14ac:dyDescent="0.2">
      <c r="A151" s="16" t="str">
        <f>IFERROR(IF(Members!A148="","",Members!A148),"")</f>
        <v/>
      </c>
      <c r="B151" s="16" t="str">
        <f>IFERROR(IF(Members!A148="","",Members!B148),"")</f>
        <v/>
      </c>
      <c r="C151" s="16" t="str">
        <f>IFERROR(IF(Members!A148="","",Members!C148),"")</f>
        <v/>
      </c>
      <c r="D151" s="16" t="str">
        <f>IFERROR(IF(Members!A148="","",Members!D148),"")</f>
        <v/>
      </c>
      <c r="E151" s="16" t="str">
        <f>IF(A151="","",COUNTIF(Completions!A:A,A151))</f>
        <v/>
      </c>
      <c r="F151" s="16" t="str">
        <f>IF(A151="","",SUMPRODUCT((Completions!A$2:A$5000=A151)*IFERROR(VLOOKUP(Completions!B$2:B$5000,$J$4:$K$18,2,FALSE()),0)))</f>
        <v/>
      </c>
      <c r="G151" s="16" t="str">
        <f t="shared" si="2"/>
        <v/>
      </c>
      <c r="H151" s="16" t="str">
        <f>IF(A151="","",IFERROR(TEXT(_xludf.maxifs(Completions!G:G,Completions!A:A,A151),"yyyy-mm-dd hh:mm"),"—"))</f>
        <v/>
      </c>
    </row>
    <row r="152" spans="1:8" ht="21.75" customHeight="1" x14ac:dyDescent="0.2">
      <c r="A152" s="17" t="str">
        <f>IFERROR(IF(Members!A149="","",Members!A149),"")</f>
        <v/>
      </c>
      <c r="B152" s="17" t="str">
        <f>IFERROR(IF(Members!A149="","",Members!B149),"")</f>
        <v/>
      </c>
      <c r="C152" s="17" t="str">
        <f>IFERROR(IF(Members!A149="","",Members!C149),"")</f>
        <v/>
      </c>
      <c r="D152" s="17" t="str">
        <f>IFERROR(IF(Members!A149="","",Members!D149),"")</f>
        <v/>
      </c>
      <c r="E152" s="17" t="str">
        <f>IF(A152="","",COUNTIF(Completions!A:A,A152))</f>
        <v/>
      </c>
      <c r="F152" s="17" t="str">
        <f>IF(A152="","",SUMPRODUCT((Completions!A$2:A$5000=A152)*IFERROR(VLOOKUP(Completions!B$2:B$5000,$J$4:$K$18,2,FALSE()),0)))</f>
        <v/>
      </c>
      <c r="G152" s="17" t="str">
        <f t="shared" si="2"/>
        <v/>
      </c>
      <c r="H152" s="17" t="str">
        <f>IF(A152="","",IFERROR(TEXT(_xludf.maxifs(Completions!G:G,Completions!A:A,A152),"yyyy-mm-dd hh:mm"),"—"))</f>
        <v/>
      </c>
    </row>
    <row r="153" spans="1:8" ht="21.75" customHeight="1" x14ac:dyDescent="0.2">
      <c r="A153" s="16" t="str">
        <f>IFERROR(IF(Members!A150="","",Members!A150),"")</f>
        <v/>
      </c>
      <c r="B153" s="16" t="str">
        <f>IFERROR(IF(Members!A150="","",Members!B150),"")</f>
        <v/>
      </c>
      <c r="C153" s="16" t="str">
        <f>IFERROR(IF(Members!A150="","",Members!C150),"")</f>
        <v/>
      </c>
      <c r="D153" s="16" t="str">
        <f>IFERROR(IF(Members!A150="","",Members!D150),"")</f>
        <v/>
      </c>
      <c r="E153" s="16" t="str">
        <f>IF(A153="","",COUNTIF(Completions!A:A,A153))</f>
        <v/>
      </c>
      <c r="F153" s="16" t="str">
        <f>IF(A153="","",SUMPRODUCT((Completions!A$2:A$5000=A153)*IFERROR(VLOOKUP(Completions!B$2:B$5000,$J$4:$K$18,2,FALSE()),0)))</f>
        <v/>
      </c>
      <c r="G153" s="16" t="str">
        <f t="shared" si="2"/>
        <v/>
      </c>
      <c r="H153" s="16" t="str">
        <f>IF(A153="","",IFERROR(TEXT(_xludf.maxifs(Completions!G:G,Completions!A:A,A153),"yyyy-mm-dd hh:mm"),"—"))</f>
        <v/>
      </c>
    </row>
    <row r="154" spans="1:8" ht="21.75" customHeight="1" x14ac:dyDescent="0.2">
      <c r="A154" s="17" t="str">
        <f>IFERROR(IF(Members!A151="","",Members!A151),"")</f>
        <v/>
      </c>
      <c r="B154" s="17" t="str">
        <f>IFERROR(IF(Members!A151="","",Members!B151),"")</f>
        <v/>
      </c>
      <c r="C154" s="17" t="str">
        <f>IFERROR(IF(Members!A151="","",Members!C151),"")</f>
        <v/>
      </c>
      <c r="D154" s="17" t="str">
        <f>IFERROR(IF(Members!A151="","",Members!D151),"")</f>
        <v/>
      </c>
      <c r="E154" s="17" t="str">
        <f>IF(A154="","",COUNTIF(Completions!A:A,A154))</f>
        <v/>
      </c>
      <c r="F154" s="17" t="str">
        <f>IF(A154="","",SUMPRODUCT((Completions!A$2:A$5000=A154)*IFERROR(VLOOKUP(Completions!B$2:B$5000,$J$4:$K$18,2,FALSE()),0)))</f>
        <v/>
      </c>
      <c r="G154" s="17" t="str">
        <f t="shared" si="2"/>
        <v/>
      </c>
      <c r="H154" s="17" t="str">
        <f>IF(A154="","",IFERROR(TEXT(_xludf.maxifs(Completions!G:G,Completions!A:A,A154),"yyyy-mm-dd hh:mm"),"—"))</f>
        <v/>
      </c>
    </row>
    <row r="155" spans="1:8" ht="21.75" customHeight="1" x14ac:dyDescent="0.2">
      <c r="A155" s="16" t="str">
        <f>IFERROR(IF(Members!A152="","",Members!A152),"")</f>
        <v/>
      </c>
      <c r="B155" s="16" t="str">
        <f>IFERROR(IF(Members!A152="","",Members!B152),"")</f>
        <v/>
      </c>
      <c r="C155" s="16" t="str">
        <f>IFERROR(IF(Members!A152="","",Members!C152),"")</f>
        <v/>
      </c>
      <c r="D155" s="16" t="str">
        <f>IFERROR(IF(Members!A152="","",Members!D152),"")</f>
        <v/>
      </c>
      <c r="E155" s="16" t="str">
        <f>IF(A155="","",COUNTIF(Completions!A:A,A155))</f>
        <v/>
      </c>
      <c r="F155" s="16" t="str">
        <f>IF(A155="","",SUMPRODUCT((Completions!A$2:A$5000=A155)*IFERROR(VLOOKUP(Completions!B$2:B$5000,$J$4:$K$18,2,FALSE()),0)))</f>
        <v/>
      </c>
      <c r="G155" s="16" t="str">
        <f t="shared" si="2"/>
        <v/>
      </c>
      <c r="H155" s="16" t="str">
        <f>IF(A155="","",IFERROR(TEXT(_xludf.maxifs(Completions!G:G,Completions!A:A,A155),"yyyy-mm-dd hh:mm"),"—"))</f>
        <v/>
      </c>
    </row>
    <row r="156" spans="1:8" ht="21.75" customHeight="1" x14ac:dyDescent="0.2">
      <c r="A156" s="17" t="str">
        <f>IFERROR(IF(Members!A153="","",Members!A153),"")</f>
        <v/>
      </c>
      <c r="B156" s="17" t="str">
        <f>IFERROR(IF(Members!A153="","",Members!B153),"")</f>
        <v/>
      </c>
      <c r="C156" s="17" t="str">
        <f>IFERROR(IF(Members!A153="","",Members!C153),"")</f>
        <v/>
      </c>
      <c r="D156" s="17" t="str">
        <f>IFERROR(IF(Members!A153="","",Members!D153),"")</f>
        <v/>
      </c>
      <c r="E156" s="17" t="str">
        <f>IF(A156="","",COUNTIF(Completions!A:A,A156))</f>
        <v/>
      </c>
      <c r="F156" s="17" t="str">
        <f>IF(A156="","",SUMPRODUCT((Completions!A$2:A$5000=A156)*IFERROR(VLOOKUP(Completions!B$2:B$5000,$J$4:$K$18,2,FALSE()),0)))</f>
        <v/>
      </c>
      <c r="G156" s="17" t="str">
        <f t="shared" si="2"/>
        <v/>
      </c>
      <c r="H156" s="17" t="str">
        <f>IF(A156="","",IFERROR(TEXT(_xludf.maxifs(Completions!G:G,Completions!A:A,A156),"yyyy-mm-dd hh:mm"),"—"))</f>
        <v/>
      </c>
    </row>
    <row r="157" spans="1:8" ht="21.75" customHeight="1" x14ac:dyDescent="0.2">
      <c r="A157" s="16" t="str">
        <f>IFERROR(IF(Members!A154="","",Members!A154),"")</f>
        <v/>
      </c>
      <c r="B157" s="16" t="str">
        <f>IFERROR(IF(Members!A154="","",Members!B154),"")</f>
        <v/>
      </c>
      <c r="C157" s="16" t="str">
        <f>IFERROR(IF(Members!A154="","",Members!C154),"")</f>
        <v/>
      </c>
      <c r="D157" s="16" t="str">
        <f>IFERROR(IF(Members!A154="","",Members!D154),"")</f>
        <v/>
      </c>
      <c r="E157" s="16" t="str">
        <f>IF(A157="","",COUNTIF(Completions!A:A,A157))</f>
        <v/>
      </c>
      <c r="F157" s="16" t="str">
        <f>IF(A157="","",SUMPRODUCT((Completions!A$2:A$5000=A157)*IFERROR(VLOOKUP(Completions!B$2:B$5000,$J$4:$K$18,2,FALSE()),0)))</f>
        <v/>
      </c>
      <c r="G157" s="16" t="str">
        <f t="shared" si="2"/>
        <v/>
      </c>
      <c r="H157" s="16" t="str">
        <f>IF(A157="","",IFERROR(TEXT(_xludf.maxifs(Completions!G:G,Completions!A:A,A157),"yyyy-mm-dd hh:mm"),"—"))</f>
        <v/>
      </c>
    </row>
    <row r="158" spans="1:8" ht="21.75" customHeight="1" x14ac:dyDescent="0.2">
      <c r="A158" s="17" t="str">
        <f>IFERROR(IF(Members!A155="","",Members!A155),"")</f>
        <v/>
      </c>
      <c r="B158" s="17" t="str">
        <f>IFERROR(IF(Members!A155="","",Members!B155),"")</f>
        <v/>
      </c>
      <c r="C158" s="17" t="str">
        <f>IFERROR(IF(Members!A155="","",Members!C155),"")</f>
        <v/>
      </c>
      <c r="D158" s="17" t="str">
        <f>IFERROR(IF(Members!A155="","",Members!D155),"")</f>
        <v/>
      </c>
      <c r="E158" s="17" t="str">
        <f>IF(A158="","",COUNTIF(Completions!A:A,A158))</f>
        <v/>
      </c>
      <c r="F158" s="17" t="str">
        <f>IF(A158="","",SUMPRODUCT((Completions!A$2:A$5000=A158)*IFERROR(VLOOKUP(Completions!B$2:B$5000,$J$4:$K$18,2,FALSE()),0)))</f>
        <v/>
      </c>
      <c r="G158" s="17" t="str">
        <f t="shared" si="2"/>
        <v/>
      </c>
      <c r="H158" s="17" t="str">
        <f>IF(A158="","",IFERROR(TEXT(_xludf.maxifs(Completions!G:G,Completions!A:A,A158),"yyyy-mm-dd hh:mm"),"—"))</f>
        <v/>
      </c>
    </row>
    <row r="159" spans="1:8" ht="21.75" customHeight="1" x14ac:dyDescent="0.2">
      <c r="A159" s="16" t="str">
        <f>IFERROR(IF(Members!A156="","",Members!A156),"")</f>
        <v/>
      </c>
      <c r="B159" s="16" t="str">
        <f>IFERROR(IF(Members!A156="","",Members!B156),"")</f>
        <v/>
      </c>
      <c r="C159" s="16" t="str">
        <f>IFERROR(IF(Members!A156="","",Members!C156),"")</f>
        <v/>
      </c>
      <c r="D159" s="16" t="str">
        <f>IFERROR(IF(Members!A156="","",Members!D156),"")</f>
        <v/>
      </c>
      <c r="E159" s="16" t="str">
        <f>IF(A159="","",COUNTIF(Completions!A:A,A159))</f>
        <v/>
      </c>
      <c r="F159" s="16" t="str">
        <f>IF(A159="","",SUMPRODUCT((Completions!A$2:A$5000=A159)*IFERROR(VLOOKUP(Completions!B$2:B$5000,$J$4:$K$18,2,FALSE()),0)))</f>
        <v/>
      </c>
      <c r="G159" s="16" t="str">
        <f t="shared" si="2"/>
        <v/>
      </c>
      <c r="H159" s="16" t="str">
        <f>IF(A159="","",IFERROR(TEXT(_xludf.maxifs(Completions!G:G,Completions!A:A,A159),"yyyy-mm-dd hh:mm"),"—"))</f>
        <v/>
      </c>
    </row>
    <row r="160" spans="1:8" ht="21.75" customHeight="1" x14ac:dyDescent="0.2">
      <c r="A160" s="17" t="str">
        <f>IFERROR(IF(Members!A157="","",Members!A157),"")</f>
        <v/>
      </c>
      <c r="B160" s="17" t="str">
        <f>IFERROR(IF(Members!A157="","",Members!B157),"")</f>
        <v/>
      </c>
      <c r="C160" s="17" t="str">
        <f>IFERROR(IF(Members!A157="","",Members!C157),"")</f>
        <v/>
      </c>
      <c r="D160" s="17" t="str">
        <f>IFERROR(IF(Members!A157="","",Members!D157),"")</f>
        <v/>
      </c>
      <c r="E160" s="17" t="str">
        <f>IF(A160="","",COUNTIF(Completions!A:A,A160))</f>
        <v/>
      </c>
      <c r="F160" s="17" t="str">
        <f>IF(A160="","",SUMPRODUCT((Completions!A$2:A$5000=A160)*IFERROR(VLOOKUP(Completions!B$2:B$5000,$J$4:$K$18,2,FALSE()),0)))</f>
        <v/>
      </c>
      <c r="G160" s="17" t="str">
        <f t="shared" si="2"/>
        <v/>
      </c>
      <c r="H160" s="17" t="str">
        <f>IF(A160="","",IFERROR(TEXT(_xludf.maxifs(Completions!G:G,Completions!A:A,A160),"yyyy-mm-dd hh:mm"),"—"))</f>
        <v/>
      </c>
    </row>
    <row r="161" spans="1:8" ht="21.75" customHeight="1" x14ac:dyDescent="0.2">
      <c r="A161" s="16" t="str">
        <f>IFERROR(IF(Members!A158="","",Members!A158),"")</f>
        <v/>
      </c>
      <c r="B161" s="16" t="str">
        <f>IFERROR(IF(Members!A158="","",Members!B158),"")</f>
        <v/>
      </c>
      <c r="C161" s="16" t="str">
        <f>IFERROR(IF(Members!A158="","",Members!C158),"")</f>
        <v/>
      </c>
      <c r="D161" s="16" t="str">
        <f>IFERROR(IF(Members!A158="","",Members!D158),"")</f>
        <v/>
      </c>
      <c r="E161" s="16" t="str">
        <f>IF(A161="","",COUNTIF(Completions!A:A,A161))</f>
        <v/>
      </c>
      <c r="F161" s="16" t="str">
        <f>IF(A161="","",SUMPRODUCT((Completions!A$2:A$5000=A161)*IFERROR(VLOOKUP(Completions!B$2:B$5000,$J$4:$K$18,2,FALSE()),0)))</f>
        <v/>
      </c>
      <c r="G161" s="16" t="str">
        <f t="shared" si="2"/>
        <v/>
      </c>
      <c r="H161" s="16" t="str">
        <f>IF(A161="","",IFERROR(TEXT(_xludf.maxifs(Completions!G:G,Completions!A:A,A161),"yyyy-mm-dd hh:mm"),"—"))</f>
        <v/>
      </c>
    </row>
    <row r="162" spans="1:8" ht="21.75" customHeight="1" x14ac:dyDescent="0.2">
      <c r="A162" s="17" t="str">
        <f>IFERROR(IF(Members!A159="","",Members!A159),"")</f>
        <v/>
      </c>
      <c r="B162" s="17" t="str">
        <f>IFERROR(IF(Members!A159="","",Members!B159),"")</f>
        <v/>
      </c>
      <c r="C162" s="17" t="str">
        <f>IFERROR(IF(Members!A159="","",Members!C159),"")</f>
        <v/>
      </c>
      <c r="D162" s="17" t="str">
        <f>IFERROR(IF(Members!A159="","",Members!D159),"")</f>
        <v/>
      </c>
      <c r="E162" s="17" t="str">
        <f>IF(A162="","",COUNTIF(Completions!A:A,A162))</f>
        <v/>
      </c>
      <c r="F162" s="17" t="str">
        <f>IF(A162="","",SUMPRODUCT((Completions!A$2:A$5000=A162)*IFERROR(VLOOKUP(Completions!B$2:B$5000,$J$4:$K$18,2,FALSE()),0)))</f>
        <v/>
      </c>
      <c r="G162" s="17" t="str">
        <f t="shared" si="2"/>
        <v/>
      </c>
      <c r="H162" s="17" t="str">
        <f>IF(A162="","",IFERROR(TEXT(_xludf.maxifs(Completions!G:G,Completions!A:A,A162),"yyyy-mm-dd hh:mm"),"—"))</f>
        <v/>
      </c>
    </row>
    <row r="163" spans="1:8" ht="21.75" customHeight="1" x14ac:dyDescent="0.2">
      <c r="A163" s="16" t="str">
        <f>IFERROR(IF(Members!A160="","",Members!A160),"")</f>
        <v/>
      </c>
      <c r="B163" s="16" t="str">
        <f>IFERROR(IF(Members!A160="","",Members!B160),"")</f>
        <v/>
      </c>
      <c r="C163" s="16" t="str">
        <f>IFERROR(IF(Members!A160="","",Members!C160),"")</f>
        <v/>
      </c>
      <c r="D163" s="16" t="str">
        <f>IFERROR(IF(Members!A160="","",Members!D160),"")</f>
        <v/>
      </c>
      <c r="E163" s="16" t="str">
        <f>IF(A163="","",COUNTIF(Completions!A:A,A163))</f>
        <v/>
      </c>
      <c r="F163" s="16" t="str">
        <f>IF(A163="","",SUMPRODUCT((Completions!A$2:A$5000=A163)*IFERROR(VLOOKUP(Completions!B$2:B$5000,$J$4:$K$18,2,FALSE()),0)))</f>
        <v/>
      </c>
      <c r="G163" s="16" t="str">
        <f t="shared" si="2"/>
        <v/>
      </c>
      <c r="H163" s="16" t="str">
        <f>IF(A163="","",IFERROR(TEXT(_xludf.maxifs(Completions!G:G,Completions!A:A,A163),"yyyy-mm-dd hh:mm"),"—"))</f>
        <v/>
      </c>
    </row>
    <row r="164" spans="1:8" ht="21.75" customHeight="1" x14ac:dyDescent="0.2">
      <c r="A164" s="17" t="str">
        <f>IFERROR(IF(Members!A161="","",Members!A161),"")</f>
        <v/>
      </c>
      <c r="B164" s="17" t="str">
        <f>IFERROR(IF(Members!A161="","",Members!B161),"")</f>
        <v/>
      </c>
      <c r="C164" s="17" t="str">
        <f>IFERROR(IF(Members!A161="","",Members!C161),"")</f>
        <v/>
      </c>
      <c r="D164" s="17" t="str">
        <f>IFERROR(IF(Members!A161="","",Members!D161),"")</f>
        <v/>
      </c>
      <c r="E164" s="17" t="str">
        <f>IF(A164="","",COUNTIF(Completions!A:A,A164))</f>
        <v/>
      </c>
      <c r="F164" s="17" t="str">
        <f>IF(A164="","",SUMPRODUCT((Completions!A$2:A$5000=A164)*IFERROR(VLOOKUP(Completions!B$2:B$5000,$J$4:$K$18,2,FALSE()),0)))</f>
        <v/>
      </c>
      <c r="G164" s="17" t="str">
        <f t="shared" si="2"/>
        <v/>
      </c>
      <c r="H164" s="17" t="str">
        <f>IF(A164="","",IFERROR(TEXT(_xludf.maxifs(Completions!G:G,Completions!A:A,A164),"yyyy-mm-dd hh:mm"),"—"))</f>
        <v/>
      </c>
    </row>
    <row r="165" spans="1:8" ht="21.75" customHeight="1" x14ac:dyDescent="0.2">
      <c r="A165" s="16" t="str">
        <f>IFERROR(IF(Members!A162="","",Members!A162),"")</f>
        <v/>
      </c>
      <c r="B165" s="16" t="str">
        <f>IFERROR(IF(Members!A162="","",Members!B162),"")</f>
        <v/>
      </c>
      <c r="C165" s="16" t="str">
        <f>IFERROR(IF(Members!A162="","",Members!C162),"")</f>
        <v/>
      </c>
      <c r="D165" s="16" t="str">
        <f>IFERROR(IF(Members!A162="","",Members!D162),"")</f>
        <v/>
      </c>
      <c r="E165" s="16" t="str">
        <f>IF(A165="","",COUNTIF(Completions!A:A,A165))</f>
        <v/>
      </c>
      <c r="F165" s="16" t="str">
        <f>IF(A165="","",SUMPRODUCT((Completions!A$2:A$5000=A165)*IFERROR(VLOOKUP(Completions!B$2:B$5000,$J$4:$K$18,2,FALSE()),0)))</f>
        <v/>
      </c>
      <c r="G165" s="16" t="str">
        <f t="shared" si="2"/>
        <v/>
      </c>
      <c r="H165" s="16" t="str">
        <f>IF(A165="","",IFERROR(TEXT(_xludf.maxifs(Completions!G:G,Completions!A:A,A165),"yyyy-mm-dd hh:mm"),"—"))</f>
        <v/>
      </c>
    </row>
    <row r="166" spans="1:8" ht="21.75" customHeight="1" x14ac:dyDescent="0.2">
      <c r="A166" s="17" t="str">
        <f>IFERROR(IF(Members!A163="","",Members!A163),"")</f>
        <v/>
      </c>
      <c r="B166" s="17" t="str">
        <f>IFERROR(IF(Members!A163="","",Members!B163),"")</f>
        <v/>
      </c>
      <c r="C166" s="17" t="str">
        <f>IFERROR(IF(Members!A163="","",Members!C163),"")</f>
        <v/>
      </c>
      <c r="D166" s="17" t="str">
        <f>IFERROR(IF(Members!A163="","",Members!D163),"")</f>
        <v/>
      </c>
      <c r="E166" s="17" t="str">
        <f>IF(A166="","",COUNTIF(Completions!A:A,A166))</f>
        <v/>
      </c>
      <c r="F166" s="17" t="str">
        <f>IF(A166="","",SUMPRODUCT((Completions!A$2:A$5000=A166)*IFERROR(VLOOKUP(Completions!B$2:B$5000,$J$4:$K$18,2,FALSE()),0)))</f>
        <v/>
      </c>
      <c r="G166" s="17" t="str">
        <f t="shared" si="2"/>
        <v/>
      </c>
      <c r="H166" s="17" t="str">
        <f>IF(A166="","",IFERROR(TEXT(_xludf.maxifs(Completions!G:G,Completions!A:A,A166),"yyyy-mm-dd hh:mm"),"—"))</f>
        <v/>
      </c>
    </row>
    <row r="167" spans="1:8" ht="21.75" customHeight="1" x14ac:dyDescent="0.2">
      <c r="A167" s="16" t="str">
        <f>IFERROR(IF(Members!A164="","",Members!A164),"")</f>
        <v/>
      </c>
      <c r="B167" s="16" t="str">
        <f>IFERROR(IF(Members!A164="","",Members!B164),"")</f>
        <v/>
      </c>
      <c r="C167" s="16" t="str">
        <f>IFERROR(IF(Members!A164="","",Members!C164),"")</f>
        <v/>
      </c>
      <c r="D167" s="16" t="str">
        <f>IFERROR(IF(Members!A164="","",Members!D164),"")</f>
        <v/>
      </c>
      <c r="E167" s="16" t="str">
        <f>IF(A167="","",COUNTIF(Completions!A:A,A167))</f>
        <v/>
      </c>
      <c r="F167" s="16" t="str">
        <f>IF(A167="","",SUMPRODUCT((Completions!A$2:A$5000=A167)*IFERROR(VLOOKUP(Completions!B$2:B$5000,$J$4:$K$18,2,FALSE()),0)))</f>
        <v/>
      </c>
      <c r="G167" s="16" t="str">
        <f t="shared" si="2"/>
        <v/>
      </c>
      <c r="H167" s="16" t="str">
        <f>IF(A167="","",IFERROR(TEXT(_xludf.maxifs(Completions!G:G,Completions!A:A,A167),"yyyy-mm-dd hh:mm"),"—"))</f>
        <v/>
      </c>
    </row>
    <row r="168" spans="1:8" ht="21.75" customHeight="1" x14ac:dyDescent="0.2">
      <c r="A168" s="17" t="str">
        <f>IFERROR(IF(Members!A165="","",Members!A165),"")</f>
        <v/>
      </c>
      <c r="B168" s="17" t="str">
        <f>IFERROR(IF(Members!A165="","",Members!B165),"")</f>
        <v/>
      </c>
      <c r="C168" s="17" t="str">
        <f>IFERROR(IF(Members!A165="","",Members!C165),"")</f>
        <v/>
      </c>
      <c r="D168" s="17" t="str">
        <f>IFERROR(IF(Members!A165="","",Members!D165),"")</f>
        <v/>
      </c>
      <c r="E168" s="17" t="str">
        <f>IF(A168="","",COUNTIF(Completions!A:A,A168))</f>
        <v/>
      </c>
      <c r="F168" s="17" t="str">
        <f>IF(A168="","",SUMPRODUCT((Completions!A$2:A$5000=A168)*IFERROR(VLOOKUP(Completions!B$2:B$5000,$J$4:$K$18,2,FALSE()),0)))</f>
        <v/>
      </c>
      <c r="G168" s="17" t="str">
        <f t="shared" si="2"/>
        <v/>
      </c>
      <c r="H168" s="17" t="str">
        <f>IF(A168="","",IFERROR(TEXT(_xludf.maxifs(Completions!G:G,Completions!A:A,A168),"yyyy-mm-dd hh:mm"),"—"))</f>
        <v/>
      </c>
    </row>
    <row r="169" spans="1:8" ht="21.75" customHeight="1" x14ac:dyDescent="0.2">
      <c r="A169" s="16" t="str">
        <f>IFERROR(IF(Members!A166="","",Members!A166),"")</f>
        <v/>
      </c>
      <c r="B169" s="16" t="str">
        <f>IFERROR(IF(Members!A166="","",Members!B166),"")</f>
        <v/>
      </c>
      <c r="C169" s="16" t="str">
        <f>IFERROR(IF(Members!A166="","",Members!C166),"")</f>
        <v/>
      </c>
      <c r="D169" s="16" t="str">
        <f>IFERROR(IF(Members!A166="","",Members!D166),"")</f>
        <v/>
      </c>
      <c r="E169" s="16" t="str">
        <f>IF(A169="","",COUNTIF(Completions!A:A,A169))</f>
        <v/>
      </c>
      <c r="F169" s="16" t="str">
        <f>IF(A169="","",SUMPRODUCT((Completions!A$2:A$5000=A169)*IFERROR(VLOOKUP(Completions!B$2:B$5000,$J$4:$K$18,2,FALSE()),0)))</f>
        <v/>
      </c>
      <c r="G169" s="16" t="str">
        <f t="shared" si="2"/>
        <v/>
      </c>
      <c r="H169" s="16" t="str">
        <f>IF(A169="","",IFERROR(TEXT(_xludf.maxifs(Completions!G:G,Completions!A:A,A169),"yyyy-mm-dd hh:mm"),"—"))</f>
        <v/>
      </c>
    </row>
    <row r="170" spans="1:8" ht="21.75" customHeight="1" x14ac:dyDescent="0.2">
      <c r="A170" s="17" t="str">
        <f>IFERROR(IF(Members!A167="","",Members!A167),"")</f>
        <v/>
      </c>
      <c r="B170" s="17" t="str">
        <f>IFERROR(IF(Members!A167="","",Members!B167),"")</f>
        <v/>
      </c>
      <c r="C170" s="17" t="str">
        <f>IFERROR(IF(Members!A167="","",Members!C167),"")</f>
        <v/>
      </c>
      <c r="D170" s="17" t="str">
        <f>IFERROR(IF(Members!A167="","",Members!D167),"")</f>
        <v/>
      </c>
      <c r="E170" s="17" t="str">
        <f>IF(A170="","",COUNTIF(Completions!A:A,A170))</f>
        <v/>
      </c>
      <c r="F170" s="17" t="str">
        <f>IF(A170="","",SUMPRODUCT((Completions!A$2:A$5000=A170)*IFERROR(VLOOKUP(Completions!B$2:B$5000,$J$4:$K$18,2,FALSE()),0)))</f>
        <v/>
      </c>
      <c r="G170" s="17" t="str">
        <f t="shared" si="2"/>
        <v/>
      </c>
      <c r="H170" s="17" t="str">
        <f>IF(A170="","",IFERROR(TEXT(_xludf.maxifs(Completions!G:G,Completions!A:A,A170),"yyyy-mm-dd hh:mm"),"—"))</f>
        <v/>
      </c>
    </row>
    <row r="171" spans="1:8" ht="21.75" customHeight="1" x14ac:dyDescent="0.2">
      <c r="A171" s="16" t="str">
        <f>IFERROR(IF(Members!A168="","",Members!A168),"")</f>
        <v/>
      </c>
      <c r="B171" s="16" t="str">
        <f>IFERROR(IF(Members!A168="","",Members!B168),"")</f>
        <v/>
      </c>
      <c r="C171" s="16" t="str">
        <f>IFERROR(IF(Members!A168="","",Members!C168),"")</f>
        <v/>
      </c>
      <c r="D171" s="16" t="str">
        <f>IFERROR(IF(Members!A168="","",Members!D168),"")</f>
        <v/>
      </c>
      <c r="E171" s="16" t="str">
        <f>IF(A171="","",COUNTIF(Completions!A:A,A171))</f>
        <v/>
      </c>
      <c r="F171" s="16" t="str">
        <f>IF(A171="","",SUMPRODUCT((Completions!A$2:A$5000=A171)*IFERROR(VLOOKUP(Completions!B$2:B$5000,$J$4:$K$18,2,FALSE()),0)))</f>
        <v/>
      </c>
      <c r="G171" s="16" t="str">
        <f t="shared" si="2"/>
        <v/>
      </c>
      <c r="H171" s="16" t="str">
        <f>IF(A171="","",IFERROR(TEXT(_xludf.maxifs(Completions!G:G,Completions!A:A,A171),"yyyy-mm-dd hh:mm"),"—"))</f>
        <v/>
      </c>
    </row>
    <row r="172" spans="1:8" ht="21.75" customHeight="1" x14ac:dyDescent="0.2">
      <c r="A172" s="17" t="str">
        <f>IFERROR(IF(Members!A169="","",Members!A169),"")</f>
        <v/>
      </c>
      <c r="B172" s="17" t="str">
        <f>IFERROR(IF(Members!A169="","",Members!B169),"")</f>
        <v/>
      </c>
      <c r="C172" s="17" t="str">
        <f>IFERROR(IF(Members!A169="","",Members!C169),"")</f>
        <v/>
      </c>
      <c r="D172" s="17" t="str">
        <f>IFERROR(IF(Members!A169="","",Members!D169),"")</f>
        <v/>
      </c>
      <c r="E172" s="17" t="str">
        <f>IF(A172="","",COUNTIF(Completions!A:A,A172))</f>
        <v/>
      </c>
      <c r="F172" s="17" t="str">
        <f>IF(A172="","",SUMPRODUCT((Completions!A$2:A$5000=A172)*IFERROR(VLOOKUP(Completions!B$2:B$5000,$J$4:$K$18,2,FALSE()),0)))</f>
        <v/>
      </c>
      <c r="G172" s="17" t="str">
        <f t="shared" si="2"/>
        <v/>
      </c>
      <c r="H172" s="17" t="str">
        <f>IF(A172="","",IFERROR(TEXT(_xludf.maxifs(Completions!G:G,Completions!A:A,A172),"yyyy-mm-dd hh:mm"),"—"))</f>
        <v/>
      </c>
    </row>
    <row r="173" spans="1:8" ht="21.75" customHeight="1" x14ac:dyDescent="0.2">
      <c r="A173" s="16" t="str">
        <f>IFERROR(IF(Members!A170="","",Members!A170),"")</f>
        <v/>
      </c>
      <c r="B173" s="16" t="str">
        <f>IFERROR(IF(Members!A170="","",Members!B170),"")</f>
        <v/>
      </c>
      <c r="C173" s="16" t="str">
        <f>IFERROR(IF(Members!A170="","",Members!C170),"")</f>
        <v/>
      </c>
      <c r="D173" s="16" t="str">
        <f>IFERROR(IF(Members!A170="","",Members!D170),"")</f>
        <v/>
      </c>
      <c r="E173" s="16" t="str">
        <f>IF(A173="","",COUNTIF(Completions!A:A,A173))</f>
        <v/>
      </c>
      <c r="F173" s="16" t="str">
        <f>IF(A173="","",SUMPRODUCT((Completions!A$2:A$5000=A173)*IFERROR(VLOOKUP(Completions!B$2:B$5000,$J$4:$K$18,2,FALSE()),0)))</f>
        <v/>
      </c>
      <c r="G173" s="16" t="str">
        <f t="shared" si="2"/>
        <v/>
      </c>
      <c r="H173" s="16" t="str">
        <f>IF(A173="","",IFERROR(TEXT(_xludf.maxifs(Completions!G:G,Completions!A:A,A173),"yyyy-mm-dd hh:mm"),"—"))</f>
        <v/>
      </c>
    </row>
    <row r="174" spans="1:8" ht="21.75" customHeight="1" x14ac:dyDescent="0.2">
      <c r="A174" s="17" t="str">
        <f>IFERROR(IF(Members!A171="","",Members!A171),"")</f>
        <v/>
      </c>
      <c r="B174" s="17" t="str">
        <f>IFERROR(IF(Members!A171="","",Members!B171),"")</f>
        <v/>
      </c>
      <c r="C174" s="17" t="str">
        <f>IFERROR(IF(Members!A171="","",Members!C171),"")</f>
        <v/>
      </c>
      <c r="D174" s="17" t="str">
        <f>IFERROR(IF(Members!A171="","",Members!D171),"")</f>
        <v/>
      </c>
      <c r="E174" s="17" t="str">
        <f>IF(A174="","",COUNTIF(Completions!A:A,A174))</f>
        <v/>
      </c>
      <c r="F174" s="17" t="str">
        <f>IF(A174="","",SUMPRODUCT((Completions!A$2:A$5000=A174)*IFERROR(VLOOKUP(Completions!B$2:B$5000,$J$4:$K$18,2,FALSE()),0)))</f>
        <v/>
      </c>
      <c r="G174" s="17" t="str">
        <f t="shared" si="2"/>
        <v/>
      </c>
      <c r="H174" s="17" t="str">
        <f>IF(A174="","",IFERROR(TEXT(_xludf.maxifs(Completions!G:G,Completions!A:A,A174),"yyyy-mm-dd hh:mm"),"—"))</f>
        <v/>
      </c>
    </row>
    <row r="175" spans="1:8" ht="21.75" customHeight="1" x14ac:dyDescent="0.2">
      <c r="A175" s="16" t="str">
        <f>IFERROR(IF(Members!A172="","",Members!A172),"")</f>
        <v/>
      </c>
      <c r="B175" s="16" t="str">
        <f>IFERROR(IF(Members!A172="","",Members!B172),"")</f>
        <v/>
      </c>
      <c r="C175" s="16" t="str">
        <f>IFERROR(IF(Members!A172="","",Members!C172),"")</f>
        <v/>
      </c>
      <c r="D175" s="16" t="str">
        <f>IFERROR(IF(Members!A172="","",Members!D172),"")</f>
        <v/>
      </c>
      <c r="E175" s="16" t="str">
        <f>IF(A175="","",COUNTIF(Completions!A:A,A175))</f>
        <v/>
      </c>
      <c r="F175" s="16" t="str">
        <f>IF(A175="","",SUMPRODUCT((Completions!A$2:A$5000=A175)*IFERROR(VLOOKUP(Completions!B$2:B$5000,$J$4:$K$18,2,FALSE()),0)))</f>
        <v/>
      </c>
      <c r="G175" s="16" t="str">
        <f t="shared" si="2"/>
        <v/>
      </c>
      <c r="H175" s="16" t="str">
        <f>IF(A175="","",IFERROR(TEXT(_xludf.maxifs(Completions!G:G,Completions!A:A,A175),"yyyy-mm-dd hh:mm"),"—"))</f>
        <v/>
      </c>
    </row>
    <row r="176" spans="1:8" ht="21.75" customHeight="1" x14ac:dyDescent="0.2">
      <c r="A176" s="17" t="str">
        <f>IFERROR(IF(Members!A173="","",Members!A173),"")</f>
        <v/>
      </c>
      <c r="B176" s="17" t="str">
        <f>IFERROR(IF(Members!A173="","",Members!B173),"")</f>
        <v/>
      </c>
      <c r="C176" s="17" t="str">
        <f>IFERROR(IF(Members!A173="","",Members!C173),"")</f>
        <v/>
      </c>
      <c r="D176" s="17" t="str">
        <f>IFERROR(IF(Members!A173="","",Members!D173),"")</f>
        <v/>
      </c>
      <c r="E176" s="17" t="str">
        <f>IF(A176="","",COUNTIF(Completions!A:A,A176))</f>
        <v/>
      </c>
      <c r="F176" s="17" t="str">
        <f>IF(A176="","",SUMPRODUCT((Completions!A$2:A$5000=A176)*IFERROR(VLOOKUP(Completions!B$2:B$5000,$J$4:$K$18,2,FALSE()),0)))</f>
        <v/>
      </c>
      <c r="G176" s="17" t="str">
        <f t="shared" si="2"/>
        <v/>
      </c>
      <c r="H176" s="17" t="str">
        <f>IF(A176="","",IFERROR(TEXT(_xludf.maxifs(Completions!G:G,Completions!A:A,A176),"yyyy-mm-dd hh:mm"),"—"))</f>
        <v/>
      </c>
    </row>
    <row r="177" spans="1:8" ht="21.75" customHeight="1" x14ac:dyDescent="0.2">
      <c r="A177" s="16" t="str">
        <f>IFERROR(IF(Members!A174="","",Members!A174),"")</f>
        <v/>
      </c>
      <c r="B177" s="16" t="str">
        <f>IFERROR(IF(Members!A174="","",Members!B174),"")</f>
        <v/>
      </c>
      <c r="C177" s="16" t="str">
        <f>IFERROR(IF(Members!A174="","",Members!C174),"")</f>
        <v/>
      </c>
      <c r="D177" s="16" t="str">
        <f>IFERROR(IF(Members!A174="","",Members!D174),"")</f>
        <v/>
      </c>
      <c r="E177" s="16" t="str">
        <f>IF(A177="","",COUNTIF(Completions!A:A,A177))</f>
        <v/>
      </c>
      <c r="F177" s="16" t="str">
        <f>IF(A177="","",SUMPRODUCT((Completions!A$2:A$5000=A177)*IFERROR(VLOOKUP(Completions!B$2:B$5000,$J$4:$K$18,2,FALSE()),0)))</f>
        <v/>
      </c>
      <c r="G177" s="16" t="str">
        <f t="shared" si="2"/>
        <v/>
      </c>
      <c r="H177" s="16" t="str">
        <f>IF(A177="","",IFERROR(TEXT(_xludf.maxifs(Completions!G:G,Completions!A:A,A177),"yyyy-mm-dd hh:mm"),"—"))</f>
        <v/>
      </c>
    </row>
    <row r="178" spans="1:8" ht="21.75" customHeight="1" x14ac:dyDescent="0.2">
      <c r="A178" s="17" t="str">
        <f>IFERROR(IF(Members!A175="","",Members!A175),"")</f>
        <v/>
      </c>
      <c r="B178" s="17" t="str">
        <f>IFERROR(IF(Members!A175="","",Members!B175),"")</f>
        <v/>
      </c>
      <c r="C178" s="17" t="str">
        <f>IFERROR(IF(Members!A175="","",Members!C175),"")</f>
        <v/>
      </c>
      <c r="D178" s="17" t="str">
        <f>IFERROR(IF(Members!A175="","",Members!D175),"")</f>
        <v/>
      </c>
      <c r="E178" s="17" t="str">
        <f>IF(A178="","",COUNTIF(Completions!A:A,A178))</f>
        <v/>
      </c>
      <c r="F178" s="17" t="str">
        <f>IF(A178="","",SUMPRODUCT((Completions!A$2:A$5000=A178)*IFERROR(VLOOKUP(Completions!B$2:B$5000,$J$4:$K$18,2,FALSE()),0)))</f>
        <v/>
      </c>
      <c r="G178" s="17" t="str">
        <f t="shared" si="2"/>
        <v/>
      </c>
      <c r="H178" s="17" t="str">
        <f>IF(A178="","",IFERROR(TEXT(_xludf.maxifs(Completions!G:G,Completions!A:A,A178),"yyyy-mm-dd hh:mm"),"—"))</f>
        <v/>
      </c>
    </row>
    <row r="179" spans="1:8" ht="21.75" customHeight="1" x14ac:dyDescent="0.2">
      <c r="A179" s="16" t="str">
        <f>IFERROR(IF(Members!A176="","",Members!A176),"")</f>
        <v/>
      </c>
      <c r="B179" s="16" t="str">
        <f>IFERROR(IF(Members!A176="","",Members!B176),"")</f>
        <v/>
      </c>
      <c r="C179" s="16" t="str">
        <f>IFERROR(IF(Members!A176="","",Members!C176),"")</f>
        <v/>
      </c>
      <c r="D179" s="16" t="str">
        <f>IFERROR(IF(Members!A176="","",Members!D176),"")</f>
        <v/>
      </c>
      <c r="E179" s="16" t="str">
        <f>IF(A179="","",COUNTIF(Completions!A:A,A179))</f>
        <v/>
      </c>
      <c r="F179" s="16" t="str">
        <f>IF(A179="","",SUMPRODUCT((Completions!A$2:A$5000=A179)*IFERROR(VLOOKUP(Completions!B$2:B$5000,$J$4:$K$18,2,FALSE()),0)))</f>
        <v/>
      </c>
      <c r="G179" s="16" t="str">
        <f t="shared" si="2"/>
        <v/>
      </c>
      <c r="H179" s="16" t="str">
        <f>IF(A179="","",IFERROR(TEXT(_xludf.maxifs(Completions!G:G,Completions!A:A,A179),"yyyy-mm-dd hh:mm"),"—"))</f>
        <v/>
      </c>
    </row>
    <row r="180" spans="1:8" ht="21.75" customHeight="1" x14ac:dyDescent="0.2">
      <c r="A180" s="17" t="str">
        <f>IFERROR(IF(Members!A177="","",Members!A177),"")</f>
        <v/>
      </c>
      <c r="B180" s="17" t="str">
        <f>IFERROR(IF(Members!A177="","",Members!B177),"")</f>
        <v/>
      </c>
      <c r="C180" s="17" t="str">
        <f>IFERROR(IF(Members!A177="","",Members!C177),"")</f>
        <v/>
      </c>
      <c r="D180" s="17" t="str">
        <f>IFERROR(IF(Members!A177="","",Members!D177),"")</f>
        <v/>
      </c>
      <c r="E180" s="17" t="str">
        <f>IF(A180="","",COUNTIF(Completions!A:A,A180))</f>
        <v/>
      </c>
      <c r="F180" s="17" t="str">
        <f>IF(A180="","",SUMPRODUCT((Completions!A$2:A$5000=A180)*IFERROR(VLOOKUP(Completions!B$2:B$5000,$J$4:$K$18,2,FALSE()),0)))</f>
        <v/>
      </c>
      <c r="G180" s="17" t="str">
        <f t="shared" si="2"/>
        <v/>
      </c>
      <c r="H180" s="17" t="str">
        <f>IF(A180="","",IFERROR(TEXT(_xludf.maxifs(Completions!G:G,Completions!A:A,A180),"yyyy-mm-dd hh:mm"),"—"))</f>
        <v/>
      </c>
    </row>
    <row r="181" spans="1:8" ht="21.75" customHeight="1" x14ac:dyDescent="0.2">
      <c r="A181" s="16" t="str">
        <f>IFERROR(IF(Members!A178="","",Members!A178),"")</f>
        <v/>
      </c>
      <c r="B181" s="16" t="str">
        <f>IFERROR(IF(Members!A178="","",Members!B178),"")</f>
        <v/>
      </c>
      <c r="C181" s="16" t="str">
        <f>IFERROR(IF(Members!A178="","",Members!C178),"")</f>
        <v/>
      </c>
      <c r="D181" s="16" t="str">
        <f>IFERROR(IF(Members!A178="","",Members!D178),"")</f>
        <v/>
      </c>
      <c r="E181" s="16" t="str">
        <f>IF(A181="","",COUNTIF(Completions!A:A,A181))</f>
        <v/>
      </c>
      <c r="F181" s="16" t="str">
        <f>IF(A181="","",SUMPRODUCT((Completions!A$2:A$5000=A181)*IFERROR(VLOOKUP(Completions!B$2:B$5000,$J$4:$K$18,2,FALSE()),0)))</f>
        <v/>
      </c>
      <c r="G181" s="16" t="str">
        <f t="shared" si="2"/>
        <v/>
      </c>
      <c r="H181" s="16" t="str">
        <f>IF(A181="","",IFERROR(TEXT(_xludf.maxifs(Completions!G:G,Completions!A:A,A181),"yyyy-mm-dd hh:mm"),"—"))</f>
        <v/>
      </c>
    </row>
    <row r="182" spans="1:8" ht="21.75" customHeight="1" x14ac:dyDescent="0.2">
      <c r="A182" s="17" t="str">
        <f>IFERROR(IF(Members!A179="","",Members!A179),"")</f>
        <v/>
      </c>
      <c r="B182" s="17" t="str">
        <f>IFERROR(IF(Members!A179="","",Members!B179),"")</f>
        <v/>
      </c>
      <c r="C182" s="17" t="str">
        <f>IFERROR(IF(Members!A179="","",Members!C179),"")</f>
        <v/>
      </c>
      <c r="D182" s="17" t="str">
        <f>IFERROR(IF(Members!A179="","",Members!D179),"")</f>
        <v/>
      </c>
      <c r="E182" s="17" t="str">
        <f>IF(A182="","",COUNTIF(Completions!A:A,A182))</f>
        <v/>
      </c>
      <c r="F182" s="17" t="str">
        <f>IF(A182="","",SUMPRODUCT((Completions!A$2:A$5000=A182)*IFERROR(VLOOKUP(Completions!B$2:B$5000,$J$4:$K$18,2,FALSE()),0)))</f>
        <v/>
      </c>
      <c r="G182" s="17" t="str">
        <f t="shared" si="2"/>
        <v/>
      </c>
      <c r="H182" s="17" t="str">
        <f>IF(A182="","",IFERROR(TEXT(_xludf.maxifs(Completions!G:G,Completions!A:A,A182),"yyyy-mm-dd hh:mm"),"—"))</f>
        <v/>
      </c>
    </row>
    <row r="183" spans="1:8" ht="21.75" customHeight="1" x14ac:dyDescent="0.2">
      <c r="A183" s="16" t="str">
        <f>IFERROR(IF(Members!A180="","",Members!A180),"")</f>
        <v/>
      </c>
      <c r="B183" s="16" t="str">
        <f>IFERROR(IF(Members!A180="","",Members!B180),"")</f>
        <v/>
      </c>
      <c r="C183" s="16" t="str">
        <f>IFERROR(IF(Members!A180="","",Members!C180),"")</f>
        <v/>
      </c>
      <c r="D183" s="16" t="str">
        <f>IFERROR(IF(Members!A180="","",Members!D180),"")</f>
        <v/>
      </c>
      <c r="E183" s="16" t="str">
        <f>IF(A183="","",COUNTIF(Completions!A:A,A183))</f>
        <v/>
      </c>
      <c r="F183" s="16" t="str">
        <f>IF(A183="","",SUMPRODUCT((Completions!A$2:A$5000=A183)*IFERROR(VLOOKUP(Completions!B$2:B$5000,$J$4:$K$18,2,FALSE()),0)))</f>
        <v/>
      </c>
      <c r="G183" s="16" t="str">
        <f t="shared" si="2"/>
        <v/>
      </c>
      <c r="H183" s="16" t="str">
        <f>IF(A183="","",IFERROR(TEXT(_xludf.maxifs(Completions!G:G,Completions!A:A,A183),"yyyy-mm-dd hh:mm"),"—"))</f>
        <v/>
      </c>
    </row>
    <row r="184" spans="1:8" ht="21.75" customHeight="1" x14ac:dyDescent="0.2">
      <c r="A184" s="17" t="str">
        <f>IFERROR(IF(Members!A181="","",Members!A181),"")</f>
        <v/>
      </c>
      <c r="B184" s="17" t="str">
        <f>IFERROR(IF(Members!A181="","",Members!B181),"")</f>
        <v/>
      </c>
      <c r="C184" s="17" t="str">
        <f>IFERROR(IF(Members!A181="","",Members!C181),"")</f>
        <v/>
      </c>
      <c r="D184" s="17" t="str">
        <f>IFERROR(IF(Members!A181="","",Members!D181),"")</f>
        <v/>
      </c>
      <c r="E184" s="17" t="str">
        <f>IF(A184="","",COUNTIF(Completions!A:A,A184))</f>
        <v/>
      </c>
      <c r="F184" s="17" t="str">
        <f>IF(A184="","",SUMPRODUCT((Completions!A$2:A$5000=A184)*IFERROR(VLOOKUP(Completions!B$2:B$5000,$J$4:$K$18,2,FALSE()),0)))</f>
        <v/>
      </c>
      <c r="G184" s="17" t="str">
        <f t="shared" si="2"/>
        <v/>
      </c>
      <c r="H184" s="17" t="str">
        <f>IF(A184="","",IFERROR(TEXT(_xludf.maxifs(Completions!G:G,Completions!A:A,A184),"yyyy-mm-dd hh:mm"),"—"))</f>
        <v/>
      </c>
    </row>
    <row r="185" spans="1:8" ht="21.75" customHeight="1" x14ac:dyDescent="0.2">
      <c r="A185" s="16" t="str">
        <f>IFERROR(IF(Members!A182="","",Members!A182),"")</f>
        <v/>
      </c>
      <c r="B185" s="16" t="str">
        <f>IFERROR(IF(Members!A182="","",Members!B182),"")</f>
        <v/>
      </c>
      <c r="C185" s="16" t="str">
        <f>IFERROR(IF(Members!A182="","",Members!C182),"")</f>
        <v/>
      </c>
      <c r="D185" s="16" t="str">
        <f>IFERROR(IF(Members!A182="","",Members!D182),"")</f>
        <v/>
      </c>
      <c r="E185" s="16" t="str">
        <f>IF(A185="","",COUNTIF(Completions!A:A,A185))</f>
        <v/>
      </c>
      <c r="F185" s="16" t="str">
        <f>IF(A185="","",SUMPRODUCT((Completions!A$2:A$5000=A185)*IFERROR(VLOOKUP(Completions!B$2:B$5000,$J$4:$K$18,2,FALSE()),0)))</f>
        <v/>
      </c>
      <c r="G185" s="16" t="str">
        <f t="shared" si="2"/>
        <v/>
      </c>
      <c r="H185" s="16" t="str">
        <f>IF(A185="","",IFERROR(TEXT(_xludf.maxifs(Completions!G:G,Completions!A:A,A185),"yyyy-mm-dd hh:mm"),"—"))</f>
        <v/>
      </c>
    </row>
    <row r="186" spans="1:8" ht="21.75" customHeight="1" x14ac:dyDescent="0.2">
      <c r="A186" s="17" t="str">
        <f>IFERROR(IF(Members!A183="","",Members!A183),"")</f>
        <v/>
      </c>
      <c r="B186" s="17" t="str">
        <f>IFERROR(IF(Members!A183="","",Members!B183),"")</f>
        <v/>
      </c>
      <c r="C186" s="17" t="str">
        <f>IFERROR(IF(Members!A183="","",Members!C183),"")</f>
        <v/>
      </c>
      <c r="D186" s="17" t="str">
        <f>IFERROR(IF(Members!A183="","",Members!D183),"")</f>
        <v/>
      </c>
      <c r="E186" s="17" t="str">
        <f>IF(A186="","",COUNTIF(Completions!A:A,A186))</f>
        <v/>
      </c>
      <c r="F186" s="17" t="str">
        <f>IF(A186="","",SUMPRODUCT((Completions!A$2:A$5000=A186)*IFERROR(VLOOKUP(Completions!B$2:B$5000,$J$4:$K$18,2,FALSE()),0)))</f>
        <v/>
      </c>
      <c r="G186" s="17" t="str">
        <f t="shared" si="2"/>
        <v/>
      </c>
      <c r="H186" s="17" t="str">
        <f>IF(A186="","",IFERROR(TEXT(_xludf.maxifs(Completions!G:G,Completions!A:A,A186),"yyyy-mm-dd hh:mm"),"—"))</f>
        <v/>
      </c>
    </row>
    <row r="187" spans="1:8" ht="21.75" customHeight="1" x14ac:dyDescent="0.2">
      <c r="A187" s="16" t="str">
        <f>IFERROR(IF(Members!A184="","",Members!A184),"")</f>
        <v/>
      </c>
      <c r="B187" s="16" t="str">
        <f>IFERROR(IF(Members!A184="","",Members!B184),"")</f>
        <v/>
      </c>
      <c r="C187" s="16" t="str">
        <f>IFERROR(IF(Members!A184="","",Members!C184),"")</f>
        <v/>
      </c>
      <c r="D187" s="16" t="str">
        <f>IFERROR(IF(Members!A184="","",Members!D184),"")</f>
        <v/>
      </c>
      <c r="E187" s="16" t="str">
        <f>IF(A187="","",COUNTIF(Completions!A:A,A187))</f>
        <v/>
      </c>
      <c r="F187" s="16" t="str">
        <f>IF(A187="","",SUMPRODUCT((Completions!A$2:A$5000=A187)*IFERROR(VLOOKUP(Completions!B$2:B$5000,$J$4:$K$18,2,FALSE()),0)))</f>
        <v/>
      </c>
      <c r="G187" s="16" t="str">
        <f t="shared" si="2"/>
        <v/>
      </c>
      <c r="H187" s="16" t="str">
        <f>IF(A187="","",IFERROR(TEXT(_xludf.maxifs(Completions!G:G,Completions!A:A,A187),"yyyy-mm-dd hh:mm"),"—"))</f>
        <v/>
      </c>
    </row>
    <row r="188" spans="1:8" ht="21.75" customHeight="1" x14ac:dyDescent="0.2">
      <c r="A188" s="17" t="str">
        <f>IFERROR(IF(Members!A185="","",Members!A185),"")</f>
        <v/>
      </c>
      <c r="B188" s="17" t="str">
        <f>IFERROR(IF(Members!A185="","",Members!B185),"")</f>
        <v/>
      </c>
      <c r="C188" s="17" t="str">
        <f>IFERROR(IF(Members!A185="","",Members!C185),"")</f>
        <v/>
      </c>
      <c r="D188" s="17" t="str">
        <f>IFERROR(IF(Members!A185="","",Members!D185),"")</f>
        <v/>
      </c>
      <c r="E188" s="17" t="str">
        <f>IF(A188="","",COUNTIF(Completions!A:A,A188))</f>
        <v/>
      </c>
      <c r="F188" s="17" t="str">
        <f>IF(A188="","",SUMPRODUCT((Completions!A$2:A$5000=A188)*IFERROR(VLOOKUP(Completions!B$2:B$5000,$J$4:$K$18,2,FALSE()),0)))</f>
        <v/>
      </c>
      <c r="G188" s="17" t="str">
        <f t="shared" si="2"/>
        <v/>
      </c>
      <c r="H188" s="17" t="str">
        <f>IF(A188="","",IFERROR(TEXT(_xludf.maxifs(Completions!G:G,Completions!A:A,A188),"yyyy-mm-dd hh:mm"),"—"))</f>
        <v/>
      </c>
    </row>
    <row r="189" spans="1:8" ht="21.75" customHeight="1" x14ac:dyDescent="0.2">
      <c r="A189" s="16" t="str">
        <f>IFERROR(IF(Members!A186="","",Members!A186),"")</f>
        <v/>
      </c>
      <c r="B189" s="16" t="str">
        <f>IFERROR(IF(Members!A186="","",Members!B186),"")</f>
        <v/>
      </c>
      <c r="C189" s="16" t="str">
        <f>IFERROR(IF(Members!A186="","",Members!C186),"")</f>
        <v/>
      </c>
      <c r="D189" s="16" t="str">
        <f>IFERROR(IF(Members!A186="","",Members!D186),"")</f>
        <v/>
      </c>
      <c r="E189" s="16" t="str">
        <f>IF(A189="","",COUNTIF(Completions!A:A,A189))</f>
        <v/>
      </c>
      <c r="F189" s="16" t="str">
        <f>IF(A189="","",SUMPRODUCT((Completions!A$2:A$5000=A189)*IFERROR(VLOOKUP(Completions!B$2:B$5000,$J$4:$K$18,2,FALSE()),0)))</f>
        <v/>
      </c>
      <c r="G189" s="16" t="str">
        <f t="shared" si="2"/>
        <v/>
      </c>
      <c r="H189" s="16" t="str">
        <f>IF(A189="","",IFERROR(TEXT(_xludf.maxifs(Completions!G:G,Completions!A:A,A189),"yyyy-mm-dd hh:mm"),"—"))</f>
        <v/>
      </c>
    </row>
    <row r="190" spans="1:8" ht="21.75" customHeight="1" x14ac:dyDescent="0.2">
      <c r="A190" s="17" t="str">
        <f>IFERROR(IF(Members!A187="","",Members!A187),"")</f>
        <v/>
      </c>
      <c r="B190" s="17" t="str">
        <f>IFERROR(IF(Members!A187="","",Members!B187),"")</f>
        <v/>
      </c>
      <c r="C190" s="17" t="str">
        <f>IFERROR(IF(Members!A187="","",Members!C187),"")</f>
        <v/>
      </c>
      <c r="D190" s="17" t="str">
        <f>IFERROR(IF(Members!A187="","",Members!D187),"")</f>
        <v/>
      </c>
      <c r="E190" s="17" t="str">
        <f>IF(A190="","",COUNTIF(Completions!A:A,A190))</f>
        <v/>
      </c>
      <c r="F190" s="17" t="str">
        <f>IF(A190="","",SUMPRODUCT((Completions!A$2:A$5000=A190)*IFERROR(VLOOKUP(Completions!B$2:B$5000,$J$4:$K$18,2,FALSE()),0)))</f>
        <v/>
      </c>
      <c r="G190" s="17" t="str">
        <f t="shared" si="2"/>
        <v/>
      </c>
      <c r="H190" s="17" t="str">
        <f>IF(A190="","",IFERROR(TEXT(_xludf.maxifs(Completions!G:G,Completions!A:A,A190),"yyyy-mm-dd hh:mm"),"—"))</f>
        <v/>
      </c>
    </row>
    <row r="191" spans="1:8" ht="21.75" customHeight="1" x14ac:dyDescent="0.2">
      <c r="A191" s="16" t="str">
        <f>IFERROR(IF(Members!A188="","",Members!A188),"")</f>
        <v/>
      </c>
      <c r="B191" s="16" t="str">
        <f>IFERROR(IF(Members!A188="","",Members!B188),"")</f>
        <v/>
      </c>
      <c r="C191" s="16" t="str">
        <f>IFERROR(IF(Members!A188="","",Members!C188),"")</f>
        <v/>
      </c>
      <c r="D191" s="16" t="str">
        <f>IFERROR(IF(Members!A188="","",Members!D188),"")</f>
        <v/>
      </c>
      <c r="E191" s="16" t="str">
        <f>IF(A191="","",COUNTIF(Completions!A:A,A191))</f>
        <v/>
      </c>
      <c r="F191" s="16" t="str">
        <f>IF(A191="","",SUMPRODUCT((Completions!A$2:A$5000=A191)*IFERROR(VLOOKUP(Completions!B$2:B$5000,$J$4:$K$18,2,FALSE()),0)))</f>
        <v/>
      </c>
      <c r="G191" s="16" t="str">
        <f t="shared" si="2"/>
        <v/>
      </c>
      <c r="H191" s="16" t="str">
        <f>IF(A191="","",IFERROR(TEXT(_xludf.maxifs(Completions!G:G,Completions!A:A,A191),"yyyy-mm-dd hh:mm"),"—"))</f>
        <v/>
      </c>
    </row>
    <row r="192" spans="1:8" ht="21.75" customHeight="1" x14ac:dyDescent="0.2">
      <c r="A192" s="17" t="str">
        <f>IFERROR(IF(Members!A189="","",Members!A189),"")</f>
        <v/>
      </c>
      <c r="B192" s="17" t="str">
        <f>IFERROR(IF(Members!A189="","",Members!B189),"")</f>
        <v/>
      </c>
      <c r="C192" s="17" t="str">
        <f>IFERROR(IF(Members!A189="","",Members!C189),"")</f>
        <v/>
      </c>
      <c r="D192" s="17" t="str">
        <f>IFERROR(IF(Members!A189="","",Members!D189),"")</f>
        <v/>
      </c>
      <c r="E192" s="17" t="str">
        <f>IF(A192="","",COUNTIF(Completions!A:A,A192))</f>
        <v/>
      </c>
      <c r="F192" s="17" t="str">
        <f>IF(A192="","",SUMPRODUCT((Completions!A$2:A$5000=A192)*IFERROR(VLOOKUP(Completions!B$2:B$5000,$J$4:$K$18,2,FALSE()),0)))</f>
        <v/>
      </c>
      <c r="G192" s="17" t="str">
        <f t="shared" si="2"/>
        <v/>
      </c>
      <c r="H192" s="17" t="str">
        <f>IF(A192="","",IFERROR(TEXT(_xludf.maxifs(Completions!G:G,Completions!A:A,A192),"yyyy-mm-dd hh:mm"),"—"))</f>
        <v/>
      </c>
    </row>
    <row r="193" spans="1:8" ht="21.75" customHeight="1" x14ac:dyDescent="0.2">
      <c r="A193" s="16" t="str">
        <f>IFERROR(IF(Members!A190="","",Members!A190),"")</f>
        <v/>
      </c>
      <c r="B193" s="16" t="str">
        <f>IFERROR(IF(Members!A190="","",Members!B190),"")</f>
        <v/>
      </c>
      <c r="C193" s="16" t="str">
        <f>IFERROR(IF(Members!A190="","",Members!C190),"")</f>
        <v/>
      </c>
      <c r="D193" s="16" t="str">
        <f>IFERROR(IF(Members!A190="","",Members!D190),"")</f>
        <v/>
      </c>
      <c r="E193" s="16" t="str">
        <f>IF(A193="","",COUNTIF(Completions!A:A,A193))</f>
        <v/>
      </c>
      <c r="F193" s="16" t="str">
        <f>IF(A193="","",SUMPRODUCT((Completions!A$2:A$5000=A193)*IFERROR(VLOOKUP(Completions!B$2:B$5000,$J$4:$K$18,2,FALSE()),0)))</f>
        <v/>
      </c>
      <c r="G193" s="16" t="str">
        <f t="shared" si="2"/>
        <v/>
      </c>
      <c r="H193" s="16" t="str">
        <f>IF(A193="","",IFERROR(TEXT(_xludf.maxifs(Completions!G:G,Completions!A:A,A193),"yyyy-mm-dd hh:mm"),"—"))</f>
        <v/>
      </c>
    </row>
    <row r="194" spans="1:8" ht="21.75" customHeight="1" x14ac:dyDescent="0.2">
      <c r="A194" s="17" t="str">
        <f>IFERROR(IF(Members!A191="","",Members!A191),"")</f>
        <v/>
      </c>
      <c r="B194" s="17" t="str">
        <f>IFERROR(IF(Members!A191="","",Members!B191),"")</f>
        <v/>
      </c>
      <c r="C194" s="17" t="str">
        <f>IFERROR(IF(Members!A191="","",Members!C191),"")</f>
        <v/>
      </c>
      <c r="D194" s="17" t="str">
        <f>IFERROR(IF(Members!A191="","",Members!D191),"")</f>
        <v/>
      </c>
      <c r="E194" s="17" t="str">
        <f>IF(A194="","",COUNTIF(Completions!A:A,A194))</f>
        <v/>
      </c>
      <c r="F194" s="17" t="str">
        <f>IF(A194="","",SUMPRODUCT((Completions!A$2:A$5000=A194)*IFERROR(VLOOKUP(Completions!B$2:B$5000,$J$4:$K$18,2,FALSE()),0)))</f>
        <v/>
      </c>
      <c r="G194" s="17" t="str">
        <f t="shared" si="2"/>
        <v/>
      </c>
      <c r="H194" s="17" t="str">
        <f>IF(A194="","",IFERROR(TEXT(_xludf.maxifs(Completions!G:G,Completions!A:A,A194),"yyyy-mm-dd hh:mm"),"—"))</f>
        <v/>
      </c>
    </row>
    <row r="195" spans="1:8" ht="21.75" customHeight="1" x14ac:dyDescent="0.2">
      <c r="A195" s="16" t="str">
        <f>IFERROR(IF(Members!A192="","",Members!A192),"")</f>
        <v/>
      </c>
      <c r="B195" s="16" t="str">
        <f>IFERROR(IF(Members!A192="","",Members!B192),"")</f>
        <v/>
      </c>
      <c r="C195" s="16" t="str">
        <f>IFERROR(IF(Members!A192="","",Members!C192),"")</f>
        <v/>
      </c>
      <c r="D195" s="16" t="str">
        <f>IFERROR(IF(Members!A192="","",Members!D192),"")</f>
        <v/>
      </c>
      <c r="E195" s="16" t="str">
        <f>IF(A195="","",COUNTIF(Completions!A:A,A195))</f>
        <v/>
      </c>
      <c r="F195" s="16" t="str">
        <f>IF(A195="","",SUMPRODUCT((Completions!A$2:A$5000=A195)*IFERROR(VLOOKUP(Completions!B$2:B$5000,$J$4:$K$18,2,FALSE()),0)))</f>
        <v/>
      </c>
      <c r="G195" s="16" t="str">
        <f t="shared" si="2"/>
        <v/>
      </c>
      <c r="H195" s="16" t="str">
        <f>IF(A195="","",IFERROR(TEXT(_xludf.maxifs(Completions!G:G,Completions!A:A,A195),"yyyy-mm-dd hh:mm"),"—"))</f>
        <v/>
      </c>
    </row>
    <row r="196" spans="1:8" ht="21.75" customHeight="1" x14ac:dyDescent="0.2">
      <c r="A196" s="17" t="str">
        <f>IFERROR(IF(Members!A193="","",Members!A193),"")</f>
        <v/>
      </c>
      <c r="B196" s="17" t="str">
        <f>IFERROR(IF(Members!A193="","",Members!B193),"")</f>
        <v/>
      </c>
      <c r="C196" s="17" t="str">
        <f>IFERROR(IF(Members!A193="","",Members!C193),"")</f>
        <v/>
      </c>
      <c r="D196" s="17" t="str">
        <f>IFERROR(IF(Members!A193="","",Members!D193),"")</f>
        <v/>
      </c>
      <c r="E196" s="17" t="str">
        <f>IF(A196="","",COUNTIF(Completions!A:A,A196))</f>
        <v/>
      </c>
      <c r="F196" s="17" t="str">
        <f>IF(A196="","",SUMPRODUCT((Completions!A$2:A$5000=A196)*IFERROR(VLOOKUP(Completions!B$2:B$5000,$J$4:$K$18,2,FALSE()),0)))</f>
        <v/>
      </c>
      <c r="G196" s="17" t="str">
        <f t="shared" si="2"/>
        <v/>
      </c>
      <c r="H196" s="17" t="str">
        <f>IF(A196="","",IFERROR(TEXT(_xludf.maxifs(Completions!G:G,Completions!A:A,A196),"yyyy-mm-dd hh:mm"),"—"))</f>
        <v/>
      </c>
    </row>
    <row r="197" spans="1:8" ht="21.75" customHeight="1" x14ac:dyDescent="0.2">
      <c r="A197" s="16" t="str">
        <f>IFERROR(IF(Members!A194="","",Members!A194),"")</f>
        <v/>
      </c>
      <c r="B197" s="16" t="str">
        <f>IFERROR(IF(Members!A194="","",Members!B194),"")</f>
        <v/>
      </c>
      <c r="C197" s="16" t="str">
        <f>IFERROR(IF(Members!A194="","",Members!C194),"")</f>
        <v/>
      </c>
      <c r="D197" s="16" t="str">
        <f>IFERROR(IF(Members!A194="","",Members!D194),"")</f>
        <v/>
      </c>
      <c r="E197" s="16" t="str">
        <f>IF(A197="","",COUNTIF(Completions!A:A,A197))</f>
        <v/>
      </c>
      <c r="F197" s="16" t="str">
        <f>IF(A197="","",SUMPRODUCT((Completions!A$2:A$5000=A197)*IFERROR(VLOOKUP(Completions!B$2:B$5000,$J$4:$K$18,2,FALSE()),0)))</f>
        <v/>
      </c>
      <c r="G197" s="16" t="str">
        <f t="shared" ref="G197:G260" si="3">IF(A197="","",IF(F197&gt;=20,"Gold",IF(F197&gt;=14,"Silver",IF(F197&gt;=8,"Bronze","—"))))</f>
        <v/>
      </c>
      <c r="H197" s="16" t="str">
        <f>IF(A197="","",IFERROR(TEXT(_xludf.maxifs(Completions!G:G,Completions!A:A,A197),"yyyy-mm-dd hh:mm"),"—"))</f>
        <v/>
      </c>
    </row>
    <row r="198" spans="1:8" ht="21.75" customHeight="1" x14ac:dyDescent="0.2">
      <c r="A198" s="17" t="str">
        <f>IFERROR(IF(Members!A195="","",Members!A195),"")</f>
        <v/>
      </c>
      <c r="B198" s="17" t="str">
        <f>IFERROR(IF(Members!A195="","",Members!B195),"")</f>
        <v/>
      </c>
      <c r="C198" s="17" t="str">
        <f>IFERROR(IF(Members!A195="","",Members!C195),"")</f>
        <v/>
      </c>
      <c r="D198" s="17" t="str">
        <f>IFERROR(IF(Members!A195="","",Members!D195),"")</f>
        <v/>
      </c>
      <c r="E198" s="17" t="str">
        <f>IF(A198="","",COUNTIF(Completions!A:A,A198))</f>
        <v/>
      </c>
      <c r="F198" s="17" t="str">
        <f>IF(A198="","",SUMPRODUCT((Completions!A$2:A$5000=A198)*IFERROR(VLOOKUP(Completions!B$2:B$5000,$J$4:$K$18,2,FALSE()),0)))</f>
        <v/>
      </c>
      <c r="G198" s="17" t="str">
        <f t="shared" si="3"/>
        <v/>
      </c>
      <c r="H198" s="17" t="str">
        <f>IF(A198="","",IFERROR(TEXT(_xludf.maxifs(Completions!G:G,Completions!A:A,A198),"yyyy-mm-dd hh:mm"),"—"))</f>
        <v/>
      </c>
    </row>
    <row r="199" spans="1:8" ht="21.75" customHeight="1" x14ac:dyDescent="0.2">
      <c r="A199" s="16" t="str">
        <f>IFERROR(IF(Members!A196="","",Members!A196),"")</f>
        <v/>
      </c>
      <c r="B199" s="16" t="str">
        <f>IFERROR(IF(Members!A196="","",Members!B196),"")</f>
        <v/>
      </c>
      <c r="C199" s="16" t="str">
        <f>IFERROR(IF(Members!A196="","",Members!C196),"")</f>
        <v/>
      </c>
      <c r="D199" s="16" t="str">
        <f>IFERROR(IF(Members!A196="","",Members!D196),"")</f>
        <v/>
      </c>
      <c r="E199" s="16" t="str">
        <f>IF(A199="","",COUNTIF(Completions!A:A,A199))</f>
        <v/>
      </c>
      <c r="F199" s="16" t="str">
        <f>IF(A199="","",SUMPRODUCT((Completions!A$2:A$5000=A199)*IFERROR(VLOOKUP(Completions!B$2:B$5000,$J$4:$K$18,2,FALSE()),0)))</f>
        <v/>
      </c>
      <c r="G199" s="16" t="str">
        <f t="shared" si="3"/>
        <v/>
      </c>
      <c r="H199" s="16" t="str">
        <f>IF(A199="","",IFERROR(TEXT(_xludf.maxifs(Completions!G:G,Completions!A:A,A199),"yyyy-mm-dd hh:mm"),"—"))</f>
        <v/>
      </c>
    </row>
    <row r="200" spans="1:8" ht="21.75" customHeight="1" x14ac:dyDescent="0.2">
      <c r="A200" s="17" t="str">
        <f>IFERROR(IF(Members!A197="","",Members!A197),"")</f>
        <v/>
      </c>
      <c r="B200" s="17" t="str">
        <f>IFERROR(IF(Members!A197="","",Members!B197),"")</f>
        <v/>
      </c>
      <c r="C200" s="17" t="str">
        <f>IFERROR(IF(Members!A197="","",Members!C197),"")</f>
        <v/>
      </c>
      <c r="D200" s="17" t="str">
        <f>IFERROR(IF(Members!A197="","",Members!D197),"")</f>
        <v/>
      </c>
      <c r="E200" s="17" t="str">
        <f>IF(A200="","",COUNTIF(Completions!A:A,A200))</f>
        <v/>
      </c>
      <c r="F200" s="17" t="str">
        <f>IF(A200="","",SUMPRODUCT((Completions!A$2:A$5000=A200)*IFERROR(VLOOKUP(Completions!B$2:B$5000,$J$4:$K$18,2,FALSE()),0)))</f>
        <v/>
      </c>
      <c r="G200" s="17" t="str">
        <f t="shared" si="3"/>
        <v/>
      </c>
      <c r="H200" s="17" t="str">
        <f>IF(A200="","",IFERROR(TEXT(_xludf.maxifs(Completions!G:G,Completions!A:A,A200),"yyyy-mm-dd hh:mm"),"—"))</f>
        <v/>
      </c>
    </row>
    <row r="201" spans="1:8" ht="21.75" customHeight="1" x14ac:dyDescent="0.2">
      <c r="A201" s="16" t="str">
        <f>IFERROR(IF(Members!A198="","",Members!A198),"")</f>
        <v/>
      </c>
      <c r="B201" s="16" t="str">
        <f>IFERROR(IF(Members!A198="","",Members!B198),"")</f>
        <v/>
      </c>
      <c r="C201" s="16" t="str">
        <f>IFERROR(IF(Members!A198="","",Members!C198),"")</f>
        <v/>
      </c>
      <c r="D201" s="16" t="str">
        <f>IFERROR(IF(Members!A198="","",Members!D198),"")</f>
        <v/>
      </c>
      <c r="E201" s="16" t="str">
        <f>IF(A201="","",COUNTIF(Completions!A:A,A201))</f>
        <v/>
      </c>
      <c r="F201" s="16" t="str">
        <f>IF(A201="","",SUMPRODUCT((Completions!A$2:A$5000=A201)*IFERROR(VLOOKUP(Completions!B$2:B$5000,$J$4:$K$18,2,FALSE()),0)))</f>
        <v/>
      </c>
      <c r="G201" s="16" t="str">
        <f t="shared" si="3"/>
        <v/>
      </c>
      <c r="H201" s="16" t="str">
        <f>IF(A201="","",IFERROR(TEXT(_xludf.maxifs(Completions!G:G,Completions!A:A,A201),"yyyy-mm-dd hh:mm"),"—"))</f>
        <v/>
      </c>
    </row>
    <row r="202" spans="1:8" ht="21.75" customHeight="1" x14ac:dyDescent="0.2">
      <c r="A202" s="17" t="str">
        <f>IFERROR(IF(Members!A199="","",Members!A199),"")</f>
        <v/>
      </c>
      <c r="B202" s="17" t="str">
        <f>IFERROR(IF(Members!A199="","",Members!B199),"")</f>
        <v/>
      </c>
      <c r="C202" s="17" t="str">
        <f>IFERROR(IF(Members!A199="","",Members!C199),"")</f>
        <v/>
      </c>
      <c r="D202" s="17" t="str">
        <f>IFERROR(IF(Members!A199="","",Members!D199),"")</f>
        <v/>
      </c>
      <c r="E202" s="17" t="str">
        <f>IF(A202="","",COUNTIF(Completions!A:A,A202))</f>
        <v/>
      </c>
      <c r="F202" s="17" t="str">
        <f>IF(A202="","",SUMPRODUCT((Completions!A$2:A$5000=A202)*IFERROR(VLOOKUP(Completions!B$2:B$5000,$J$4:$K$18,2,FALSE()),0)))</f>
        <v/>
      </c>
      <c r="G202" s="17" t="str">
        <f t="shared" si="3"/>
        <v/>
      </c>
      <c r="H202" s="17" t="str">
        <f>IF(A202="","",IFERROR(TEXT(_xludf.maxifs(Completions!G:G,Completions!A:A,A202),"yyyy-mm-dd hh:mm"),"—"))</f>
        <v/>
      </c>
    </row>
    <row r="203" spans="1:8" ht="21.75" customHeight="1" x14ac:dyDescent="0.2">
      <c r="A203" s="16" t="str">
        <f>IFERROR(IF(Members!A200="","",Members!A200),"")</f>
        <v/>
      </c>
      <c r="B203" s="16" t="str">
        <f>IFERROR(IF(Members!A200="","",Members!B200),"")</f>
        <v/>
      </c>
      <c r="C203" s="16" t="str">
        <f>IFERROR(IF(Members!A200="","",Members!C200),"")</f>
        <v/>
      </c>
      <c r="D203" s="16" t="str">
        <f>IFERROR(IF(Members!A200="","",Members!D200),"")</f>
        <v/>
      </c>
      <c r="E203" s="16" t="str">
        <f>IF(A203="","",COUNTIF(Completions!A:A,A203))</f>
        <v/>
      </c>
      <c r="F203" s="16" t="str">
        <f>IF(A203="","",SUMPRODUCT((Completions!A$2:A$5000=A203)*IFERROR(VLOOKUP(Completions!B$2:B$5000,$J$4:$K$18,2,FALSE()),0)))</f>
        <v/>
      </c>
      <c r="G203" s="16" t="str">
        <f t="shared" si="3"/>
        <v/>
      </c>
      <c r="H203" s="16" t="str">
        <f>IF(A203="","",IFERROR(TEXT(_xludf.maxifs(Completions!G:G,Completions!A:A,A203),"yyyy-mm-dd hh:mm"),"—"))</f>
        <v/>
      </c>
    </row>
    <row r="204" spans="1:8" ht="21.75" customHeight="1" x14ac:dyDescent="0.2">
      <c r="A204" s="17" t="str">
        <f>IFERROR(IF(Members!A201="","",Members!A201),"")</f>
        <v/>
      </c>
      <c r="B204" s="17" t="str">
        <f>IFERROR(IF(Members!A201="","",Members!B201),"")</f>
        <v/>
      </c>
      <c r="C204" s="17" t="str">
        <f>IFERROR(IF(Members!A201="","",Members!C201),"")</f>
        <v/>
      </c>
      <c r="D204" s="17" t="str">
        <f>IFERROR(IF(Members!A201="","",Members!D201),"")</f>
        <v/>
      </c>
      <c r="E204" s="17" t="str">
        <f>IF(A204="","",COUNTIF(Completions!A:A,A204))</f>
        <v/>
      </c>
      <c r="F204" s="17" t="str">
        <f>IF(A204="","",SUMPRODUCT((Completions!A$2:A$5000=A204)*IFERROR(VLOOKUP(Completions!B$2:B$5000,$J$4:$K$18,2,FALSE()),0)))</f>
        <v/>
      </c>
      <c r="G204" s="17" t="str">
        <f t="shared" si="3"/>
        <v/>
      </c>
      <c r="H204" s="17" t="str">
        <f>IF(A204="","",IFERROR(TEXT(_xludf.maxifs(Completions!G:G,Completions!A:A,A204),"yyyy-mm-dd hh:mm"),"—"))</f>
        <v/>
      </c>
    </row>
    <row r="205" spans="1:8" ht="21.75" customHeight="1" x14ac:dyDescent="0.2">
      <c r="A205" s="16" t="str">
        <f>IFERROR(IF(Members!A202="","",Members!A202),"")</f>
        <v/>
      </c>
      <c r="B205" s="16" t="str">
        <f>IFERROR(IF(Members!A202="","",Members!B202),"")</f>
        <v/>
      </c>
      <c r="C205" s="16" t="str">
        <f>IFERROR(IF(Members!A202="","",Members!C202),"")</f>
        <v/>
      </c>
      <c r="D205" s="16" t="str">
        <f>IFERROR(IF(Members!A202="","",Members!D202),"")</f>
        <v/>
      </c>
      <c r="E205" s="16" t="str">
        <f>IF(A205="","",COUNTIF(Completions!A:A,A205))</f>
        <v/>
      </c>
      <c r="F205" s="16" t="str">
        <f>IF(A205="","",SUMPRODUCT((Completions!A$2:A$5000=A205)*IFERROR(VLOOKUP(Completions!B$2:B$5000,$J$4:$K$18,2,FALSE()),0)))</f>
        <v/>
      </c>
      <c r="G205" s="16" t="str">
        <f t="shared" si="3"/>
        <v/>
      </c>
      <c r="H205" s="16" t="str">
        <f>IF(A205="","",IFERROR(TEXT(_xludf.maxifs(Completions!G:G,Completions!A:A,A205),"yyyy-mm-dd hh:mm"),"—"))</f>
        <v/>
      </c>
    </row>
    <row r="206" spans="1:8" ht="21.75" customHeight="1" x14ac:dyDescent="0.2">
      <c r="A206" s="17" t="str">
        <f>IFERROR(IF(Members!A203="","",Members!A203),"")</f>
        <v/>
      </c>
      <c r="B206" s="17" t="str">
        <f>IFERROR(IF(Members!A203="","",Members!B203),"")</f>
        <v/>
      </c>
      <c r="C206" s="17" t="str">
        <f>IFERROR(IF(Members!A203="","",Members!C203),"")</f>
        <v/>
      </c>
      <c r="D206" s="17" t="str">
        <f>IFERROR(IF(Members!A203="","",Members!D203),"")</f>
        <v/>
      </c>
      <c r="E206" s="17" t="str">
        <f>IF(A206="","",COUNTIF(Completions!A:A,A206))</f>
        <v/>
      </c>
      <c r="F206" s="17" t="str">
        <f>IF(A206="","",SUMPRODUCT((Completions!A$2:A$5000=A206)*IFERROR(VLOOKUP(Completions!B$2:B$5000,$J$4:$K$18,2,FALSE()),0)))</f>
        <v/>
      </c>
      <c r="G206" s="17" t="str">
        <f t="shared" si="3"/>
        <v/>
      </c>
      <c r="H206" s="17" t="str">
        <f>IF(A206="","",IFERROR(TEXT(_xludf.maxifs(Completions!G:G,Completions!A:A,A206),"yyyy-mm-dd hh:mm"),"—"))</f>
        <v/>
      </c>
    </row>
    <row r="207" spans="1:8" ht="21.75" customHeight="1" x14ac:dyDescent="0.2">
      <c r="A207" s="16" t="str">
        <f>IFERROR(IF(Members!A204="","",Members!A204),"")</f>
        <v/>
      </c>
      <c r="B207" s="16" t="str">
        <f>IFERROR(IF(Members!A204="","",Members!B204),"")</f>
        <v/>
      </c>
      <c r="C207" s="16" t="str">
        <f>IFERROR(IF(Members!A204="","",Members!C204),"")</f>
        <v/>
      </c>
      <c r="D207" s="16" t="str">
        <f>IFERROR(IF(Members!A204="","",Members!D204),"")</f>
        <v/>
      </c>
      <c r="E207" s="16" t="str">
        <f>IF(A207="","",COUNTIF(Completions!A:A,A207))</f>
        <v/>
      </c>
      <c r="F207" s="16" t="str">
        <f>IF(A207="","",SUMPRODUCT((Completions!A$2:A$5000=A207)*IFERROR(VLOOKUP(Completions!B$2:B$5000,$J$4:$K$18,2,FALSE()),0)))</f>
        <v/>
      </c>
      <c r="G207" s="16" t="str">
        <f t="shared" si="3"/>
        <v/>
      </c>
      <c r="H207" s="16" t="str">
        <f>IF(A207="","",IFERROR(TEXT(_xludf.maxifs(Completions!G:G,Completions!A:A,A207),"yyyy-mm-dd hh:mm"),"—"))</f>
        <v/>
      </c>
    </row>
    <row r="208" spans="1:8" ht="21.75" customHeight="1" x14ac:dyDescent="0.2">
      <c r="A208" s="17" t="str">
        <f>IFERROR(IF(Members!A205="","",Members!A205),"")</f>
        <v/>
      </c>
      <c r="B208" s="17" t="str">
        <f>IFERROR(IF(Members!A205="","",Members!B205),"")</f>
        <v/>
      </c>
      <c r="C208" s="17" t="str">
        <f>IFERROR(IF(Members!A205="","",Members!C205),"")</f>
        <v/>
      </c>
      <c r="D208" s="17" t="str">
        <f>IFERROR(IF(Members!A205="","",Members!D205),"")</f>
        <v/>
      </c>
      <c r="E208" s="17" t="str">
        <f>IF(A208="","",COUNTIF(Completions!A:A,A208))</f>
        <v/>
      </c>
      <c r="F208" s="17" t="str">
        <f>IF(A208="","",SUMPRODUCT((Completions!A$2:A$5000=A208)*IFERROR(VLOOKUP(Completions!B$2:B$5000,$J$4:$K$18,2,FALSE()),0)))</f>
        <v/>
      </c>
      <c r="G208" s="17" t="str">
        <f t="shared" si="3"/>
        <v/>
      </c>
      <c r="H208" s="17" t="str">
        <f>IF(A208="","",IFERROR(TEXT(_xludf.maxifs(Completions!G:G,Completions!A:A,A208),"yyyy-mm-dd hh:mm"),"—"))</f>
        <v/>
      </c>
    </row>
    <row r="209" spans="1:8" ht="21.75" customHeight="1" x14ac:dyDescent="0.2">
      <c r="A209" s="16" t="str">
        <f>IFERROR(IF(Members!A206="","",Members!A206),"")</f>
        <v/>
      </c>
      <c r="B209" s="16" t="str">
        <f>IFERROR(IF(Members!A206="","",Members!B206),"")</f>
        <v/>
      </c>
      <c r="C209" s="16" t="str">
        <f>IFERROR(IF(Members!A206="","",Members!C206),"")</f>
        <v/>
      </c>
      <c r="D209" s="16" t="str">
        <f>IFERROR(IF(Members!A206="","",Members!D206),"")</f>
        <v/>
      </c>
      <c r="E209" s="16" t="str">
        <f>IF(A209="","",COUNTIF(Completions!A:A,A209))</f>
        <v/>
      </c>
      <c r="F209" s="16" t="str">
        <f>IF(A209="","",SUMPRODUCT((Completions!A$2:A$5000=A209)*IFERROR(VLOOKUP(Completions!B$2:B$5000,$J$4:$K$18,2,FALSE()),0)))</f>
        <v/>
      </c>
      <c r="G209" s="16" t="str">
        <f t="shared" si="3"/>
        <v/>
      </c>
      <c r="H209" s="16" t="str">
        <f>IF(A209="","",IFERROR(TEXT(_xludf.maxifs(Completions!G:G,Completions!A:A,A209),"yyyy-mm-dd hh:mm"),"—"))</f>
        <v/>
      </c>
    </row>
    <row r="210" spans="1:8" ht="21.75" customHeight="1" x14ac:dyDescent="0.2">
      <c r="A210" s="17" t="str">
        <f>IFERROR(IF(Members!A207="","",Members!A207),"")</f>
        <v/>
      </c>
      <c r="B210" s="17" t="str">
        <f>IFERROR(IF(Members!A207="","",Members!B207),"")</f>
        <v/>
      </c>
      <c r="C210" s="17" t="str">
        <f>IFERROR(IF(Members!A207="","",Members!C207),"")</f>
        <v/>
      </c>
      <c r="D210" s="17" t="str">
        <f>IFERROR(IF(Members!A207="","",Members!D207),"")</f>
        <v/>
      </c>
      <c r="E210" s="17" t="str">
        <f>IF(A210="","",COUNTIF(Completions!A:A,A210))</f>
        <v/>
      </c>
      <c r="F210" s="17" t="str">
        <f>IF(A210="","",SUMPRODUCT((Completions!A$2:A$5000=A210)*IFERROR(VLOOKUP(Completions!B$2:B$5000,$J$4:$K$18,2,FALSE()),0)))</f>
        <v/>
      </c>
      <c r="G210" s="17" t="str">
        <f t="shared" si="3"/>
        <v/>
      </c>
      <c r="H210" s="17" t="str">
        <f>IF(A210="","",IFERROR(TEXT(_xludf.maxifs(Completions!G:G,Completions!A:A,A210),"yyyy-mm-dd hh:mm"),"—"))</f>
        <v/>
      </c>
    </row>
    <row r="211" spans="1:8" ht="21.75" customHeight="1" x14ac:dyDescent="0.2">
      <c r="A211" s="16" t="str">
        <f>IFERROR(IF(Members!A208="","",Members!A208),"")</f>
        <v/>
      </c>
      <c r="B211" s="16" t="str">
        <f>IFERROR(IF(Members!A208="","",Members!B208),"")</f>
        <v/>
      </c>
      <c r="C211" s="16" t="str">
        <f>IFERROR(IF(Members!A208="","",Members!C208),"")</f>
        <v/>
      </c>
      <c r="D211" s="16" t="str">
        <f>IFERROR(IF(Members!A208="","",Members!D208),"")</f>
        <v/>
      </c>
      <c r="E211" s="16" t="str">
        <f>IF(A211="","",COUNTIF(Completions!A:A,A211))</f>
        <v/>
      </c>
      <c r="F211" s="16" t="str">
        <f>IF(A211="","",SUMPRODUCT((Completions!A$2:A$5000=A211)*IFERROR(VLOOKUP(Completions!B$2:B$5000,$J$4:$K$18,2,FALSE()),0)))</f>
        <v/>
      </c>
      <c r="G211" s="16" t="str">
        <f t="shared" si="3"/>
        <v/>
      </c>
      <c r="H211" s="16" t="str">
        <f>IF(A211="","",IFERROR(TEXT(_xludf.maxifs(Completions!G:G,Completions!A:A,A211),"yyyy-mm-dd hh:mm"),"—"))</f>
        <v/>
      </c>
    </row>
    <row r="212" spans="1:8" ht="21.75" customHeight="1" x14ac:dyDescent="0.2">
      <c r="A212" s="17" t="str">
        <f>IFERROR(IF(Members!A209="","",Members!A209),"")</f>
        <v/>
      </c>
      <c r="B212" s="17" t="str">
        <f>IFERROR(IF(Members!A209="","",Members!B209),"")</f>
        <v/>
      </c>
      <c r="C212" s="17" t="str">
        <f>IFERROR(IF(Members!A209="","",Members!C209),"")</f>
        <v/>
      </c>
      <c r="D212" s="17" t="str">
        <f>IFERROR(IF(Members!A209="","",Members!D209),"")</f>
        <v/>
      </c>
      <c r="E212" s="17" t="str">
        <f>IF(A212="","",COUNTIF(Completions!A:A,A212))</f>
        <v/>
      </c>
      <c r="F212" s="17" t="str">
        <f>IF(A212="","",SUMPRODUCT((Completions!A$2:A$5000=A212)*IFERROR(VLOOKUP(Completions!B$2:B$5000,$J$4:$K$18,2,FALSE()),0)))</f>
        <v/>
      </c>
      <c r="G212" s="17" t="str">
        <f t="shared" si="3"/>
        <v/>
      </c>
      <c r="H212" s="17" t="str">
        <f>IF(A212="","",IFERROR(TEXT(_xludf.maxifs(Completions!G:G,Completions!A:A,A212),"yyyy-mm-dd hh:mm"),"—"))</f>
        <v/>
      </c>
    </row>
    <row r="213" spans="1:8" ht="21.75" customHeight="1" x14ac:dyDescent="0.2">
      <c r="A213" s="16" t="str">
        <f>IFERROR(IF(Members!A210="","",Members!A210),"")</f>
        <v/>
      </c>
      <c r="B213" s="16" t="str">
        <f>IFERROR(IF(Members!A210="","",Members!B210),"")</f>
        <v/>
      </c>
      <c r="C213" s="16" t="str">
        <f>IFERROR(IF(Members!A210="","",Members!C210),"")</f>
        <v/>
      </c>
      <c r="D213" s="16" t="str">
        <f>IFERROR(IF(Members!A210="","",Members!D210),"")</f>
        <v/>
      </c>
      <c r="E213" s="16" t="str">
        <f>IF(A213="","",COUNTIF(Completions!A:A,A213))</f>
        <v/>
      </c>
      <c r="F213" s="16" t="str">
        <f>IF(A213="","",SUMPRODUCT((Completions!A$2:A$5000=A213)*IFERROR(VLOOKUP(Completions!B$2:B$5000,$J$4:$K$18,2,FALSE()),0)))</f>
        <v/>
      </c>
      <c r="G213" s="16" t="str">
        <f t="shared" si="3"/>
        <v/>
      </c>
      <c r="H213" s="16" t="str">
        <f>IF(A213="","",IFERROR(TEXT(_xludf.maxifs(Completions!G:G,Completions!A:A,A213),"yyyy-mm-dd hh:mm"),"—"))</f>
        <v/>
      </c>
    </row>
    <row r="214" spans="1:8" ht="21.75" customHeight="1" x14ac:dyDescent="0.2">
      <c r="A214" s="17" t="str">
        <f>IFERROR(IF(Members!A211="","",Members!A211),"")</f>
        <v/>
      </c>
      <c r="B214" s="17" t="str">
        <f>IFERROR(IF(Members!A211="","",Members!B211),"")</f>
        <v/>
      </c>
      <c r="C214" s="17" t="str">
        <f>IFERROR(IF(Members!A211="","",Members!C211),"")</f>
        <v/>
      </c>
      <c r="D214" s="17" t="str">
        <f>IFERROR(IF(Members!A211="","",Members!D211),"")</f>
        <v/>
      </c>
      <c r="E214" s="17" t="str">
        <f>IF(A214="","",COUNTIF(Completions!A:A,A214))</f>
        <v/>
      </c>
      <c r="F214" s="17" t="str">
        <f>IF(A214="","",SUMPRODUCT((Completions!A$2:A$5000=A214)*IFERROR(VLOOKUP(Completions!B$2:B$5000,$J$4:$K$18,2,FALSE()),0)))</f>
        <v/>
      </c>
      <c r="G214" s="17" t="str">
        <f t="shared" si="3"/>
        <v/>
      </c>
      <c r="H214" s="17" t="str">
        <f>IF(A214="","",IFERROR(TEXT(_xludf.maxifs(Completions!G:G,Completions!A:A,A214),"yyyy-mm-dd hh:mm"),"—"))</f>
        <v/>
      </c>
    </row>
    <row r="215" spans="1:8" ht="21.75" customHeight="1" x14ac:dyDescent="0.2">
      <c r="A215" s="16" t="str">
        <f>IFERROR(IF(Members!A212="","",Members!A212),"")</f>
        <v/>
      </c>
      <c r="B215" s="16" t="str">
        <f>IFERROR(IF(Members!A212="","",Members!B212),"")</f>
        <v/>
      </c>
      <c r="C215" s="16" t="str">
        <f>IFERROR(IF(Members!A212="","",Members!C212),"")</f>
        <v/>
      </c>
      <c r="D215" s="16" t="str">
        <f>IFERROR(IF(Members!A212="","",Members!D212),"")</f>
        <v/>
      </c>
      <c r="E215" s="16" t="str">
        <f>IF(A215="","",COUNTIF(Completions!A:A,A215))</f>
        <v/>
      </c>
      <c r="F215" s="16" t="str">
        <f>IF(A215="","",SUMPRODUCT((Completions!A$2:A$5000=A215)*IFERROR(VLOOKUP(Completions!B$2:B$5000,$J$4:$K$18,2,FALSE()),0)))</f>
        <v/>
      </c>
      <c r="G215" s="16" t="str">
        <f t="shared" si="3"/>
        <v/>
      </c>
      <c r="H215" s="16" t="str">
        <f>IF(A215="","",IFERROR(TEXT(_xludf.maxifs(Completions!G:G,Completions!A:A,A215),"yyyy-mm-dd hh:mm"),"—"))</f>
        <v/>
      </c>
    </row>
    <row r="216" spans="1:8" ht="21.75" customHeight="1" x14ac:dyDescent="0.2">
      <c r="A216" s="17" t="str">
        <f>IFERROR(IF(Members!A213="","",Members!A213),"")</f>
        <v/>
      </c>
      <c r="B216" s="17" t="str">
        <f>IFERROR(IF(Members!A213="","",Members!B213),"")</f>
        <v/>
      </c>
      <c r="C216" s="17" t="str">
        <f>IFERROR(IF(Members!A213="","",Members!C213),"")</f>
        <v/>
      </c>
      <c r="D216" s="17" t="str">
        <f>IFERROR(IF(Members!A213="","",Members!D213),"")</f>
        <v/>
      </c>
      <c r="E216" s="17" t="str">
        <f>IF(A216="","",COUNTIF(Completions!A:A,A216))</f>
        <v/>
      </c>
      <c r="F216" s="17" t="str">
        <f>IF(A216="","",SUMPRODUCT((Completions!A$2:A$5000=A216)*IFERROR(VLOOKUP(Completions!B$2:B$5000,$J$4:$K$18,2,FALSE()),0)))</f>
        <v/>
      </c>
      <c r="G216" s="17" t="str">
        <f t="shared" si="3"/>
        <v/>
      </c>
      <c r="H216" s="17" t="str">
        <f>IF(A216="","",IFERROR(TEXT(_xludf.maxifs(Completions!G:G,Completions!A:A,A216),"yyyy-mm-dd hh:mm"),"—"))</f>
        <v/>
      </c>
    </row>
    <row r="217" spans="1:8" ht="21.75" customHeight="1" x14ac:dyDescent="0.2">
      <c r="A217" s="16" t="str">
        <f>IFERROR(IF(Members!A214="","",Members!A214),"")</f>
        <v/>
      </c>
      <c r="B217" s="16" t="str">
        <f>IFERROR(IF(Members!A214="","",Members!B214),"")</f>
        <v/>
      </c>
      <c r="C217" s="16" t="str">
        <f>IFERROR(IF(Members!A214="","",Members!C214),"")</f>
        <v/>
      </c>
      <c r="D217" s="16" t="str">
        <f>IFERROR(IF(Members!A214="","",Members!D214),"")</f>
        <v/>
      </c>
      <c r="E217" s="16" t="str">
        <f>IF(A217="","",COUNTIF(Completions!A:A,A217))</f>
        <v/>
      </c>
      <c r="F217" s="16" t="str">
        <f>IF(A217="","",SUMPRODUCT((Completions!A$2:A$5000=A217)*IFERROR(VLOOKUP(Completions!B$2:B$5000,$J$4:$K$18,2,FALSE()),0)))</f>
        <v/>
      </c>
      <c r="G217" s="16" t="str">
        <f t="shared" si="3"/>
        <v/>
      </c>
      <c r="H217" s="16" t="str">
        <f>IF(A217="","",IFERROR(TEXT(_xludf.maxifs(Completions!G:G,Completions!A:A,A217),"yyyy-mm-dd hh:mm"),"—"))</f>
        <v/>
      </c>
    </row>
    <row r="218" spans="1:8" ht="21.75" customHeight="1" x14ac:dyDescent="0.2">
      <c r="A218" s="17" t="str">
        <f>IFERROR(IF(Members!A215="","",Members!A215),"")</f>
        <v/>
      </c>
      <c r="B218" s="17" t="str">
        <f>IFERROR(IF(Members!A215="","",Members!B215),"")</f>
        <v/>
      </c>
      <c r="C218" s="17" t="str">
        <f>IFERROR(IF(Members!A215="","",Members!C215),"")</f>
        <v/>
      </c>
      <c r="D218" s="17" t="str">
        <f>IFERROR(IF(Members!A215="","",Members!D215),"")</f>
        <v/>
      </c>
      <c r="E218" s="17" t="str">
        <f>IF(A218="","",COUNTIF(Completions!A:A,A218))</f>
        <v/>
      </c>
      <c r="F218" s="17" t="str">
        <f>IF(A218="","",SUMPRODUCT((Completions!A$2:A$5000=A218)*IFERROR(VLOOKUP(Completions!B$2:B$5000,$J$4:$K$18,2,FALSE()),0)))</f>
        <v/>
      </c>
      <c r="G218" s="17" t="str">
        <f t="shared" si="3"/>
        <v/>
      </c>
      <c r="H218" s="17" t="str">
        <f>IF(A218="","",IFERROR(TEXT(_xludf.maxifs(Completions!G:G,Completions!A:A,A218),"yyyy-mm-dd hh:mm"),"—"))</f>
        <v/>
      </c>
    </row>
    <row r="219" spans="1:8" ht="21.75" customHeight="1" x14ac:dyDescent="0.2">
      <c r="A219" s="16" t="str">
        <f>IFERROR(IF(Members!A216="","",Members!A216),"")</f>
        <v/>
      </c>
      <c r="B219" s="16" t="str">
        <f>IFERROR(IF(Members!A216="","",Members!B216),"")</f>
        <v/>
      </c>
      <c r="C219" s="16" t="str">
        <f>IFERROR(IF(Members!A216="","",Members!C216),"")</f>
        <v/>
      </c>
      <c r="D219" s="16" t="str">
        <f>IFERROR(IF(Members!A216="","",Members!D216),"")</f>
        <v/>
      </c>
      <c r="E219" s="16" t="str">
        <f>IF(A219="","",COUNTIF(Completions!A:A,A219))</f>
        <v/>
      </c>
      <c r="F219" s="16" t="str">
        <f>IF(A219="","",SUMPRODUCT((Completions!A$2:A$5000=A219)*IFERROR(VLOOKUP(Completions!B$2:B$5000,$J$4:$K$18,2,FALSE()),0)))</f>
        <v/>
      </c>
      <c r="G219" s="16" t="str">
        <f t="shared" si="3"/>
        <v/>
      </c>
      <c r="H219" s="16" t="str">
        <f>IF(A219="","",IFERROR(TEXT(_xludf.maxifs(Completions!G:G,Completions!A:A,A219),"yyyy-mm-dd hh:mm"),"—"))</f>
        <v/>
      </c>
    </row>
    <row r="220" spans="1:8" ht="21.75" customHeight="1" x14ac:dyDescent="0.2">
      <c r="A220" s="17" t="str">
        <f>IFERROR(IF(Members!A217="","",Members!A217),"")</f>
        <v/>
      </c>
      <c r="B220" s="17" t="str">
        <f>IFERROR(IF(Members!A217="","",Members!B217),"")</f>
        <v/>
      </c>
      <c r="C220" s="17" t="str">
        <f>IFERROR(IF(Members!A217="","",Members!C217),"")</f>
        <v/>
      </c>
      <c r="D220" s="17" t="str">
        <f>IFERROR(IF(Members!A217="","",Members!D217),"")</f>
        <v/>
      </c>
      <c r="E220" s="17" t="str">
        <f>IF(A220="","",COUNTIF(Completions!A:A,A220))</f>
        <v/>
      </c>
      <c r="F220" s="17" t="str">
        <f>IF(A220="","",SUMPRODUCT((Completions!A$2:A$5000=A220)*IFERROR(VLOOKUP(Completions!B$2:B$5000,$J$4:$K$18,2,FALSE()),0)))</f>
        <v/>
      </c>
      <c r="G220" s="17" t="str">
        <f t="shared" si="3"/>
        <v/>
      </c>
      <c r="H220" s="17" t="str">
        <f>IF(A220="","",IFERROR(TEXT(_xludf.maxifs(Completions!G:G,Completions!A:A,A220),"yyyy-mm-dd hh:mm"),"—"))</f>
        <v/>
      </c>
    </row>
    <row r="221" spans="1:8" ht="21.75" customHeight="1" x14ac:dyDescent="0.2">
      <c r="A221" s="16" t="str">
        <f>IFERROR(IF(Members!A218="","",Members!A218),"")</f>
        <v/>
      </c>
      <c r="B221" s="16" t="str">
        <f>IFERROR(IF(Members!A218="","",Members!B218),"")</f>
        <v/>
      </c>
      <c r="C221" s="16" t="str">
        <f>IFERROR(IF(Members!A218="","",Members!C218),"")</f>
        <v/>
      </c>
      <c r="D221" s="16" t="str">
        <f>IFERROR(IF(Members!A218="","",Members!D218),"")</f>
        <v/>
      </c>
      <c r="E221" s="16" t="str">
        <f>IF(A221="","",COUNTIF(Completions!A:A,A221))</f>
        <v/>
      </c>
      <c r="F221" s="16" t="str">
        <f>IF(A221="","",SUMPRODUCT((Completions!A$2:A$5000=A221)*IFERROR(VLOOKUP(Completions!B$2:B$5000,$J$4:$K$18,2,FALSE()),0)))</f>
        <v/>
      </c>
      <c r="G221" s="16" t="str">
        <f t="shared" si="3"/>
        <v/>
      </c>
      <c r="H221" s="16" t="str">
        <f>IF(A221="","",IFERROR(TEXT(_xludf.maxifs(Completions!G:G,Completions!A:A,A221),"yyyy-mm-dd hh:mm"),"—"))</f>
        <v/>
      </c>
    </row>
    <row r="222" spans="1:8" ht="21.75" customHeight="1" x14ac:dyDescent="0.2">
      <c r="A222" s="17" t="str">
        <f>IFERROR(IF(Members!A219="","",Members!A219),"")</f>
        <v/>
      </c>
      <c r="B222" s="17" t="str">
        <f>IFERROR(IF(Members!A219="","",Members!B219),"")</f>
        <v/>
      </c>
      <c r="C222" s="17" t="str">
        <f>IFERROR(IF(Members!A219="","",Members!C219),"")</f>
        <v/>
      </c>
      <c r="D222" s="17" t="str">
        <f>IFERROR(IF(Members!A219="","",Members!D219),"")</f>
        <v/>
      </c>
      <c r="E222" s="17" t="str">
        <f>IF(A222="","",COUNTIF(Completions!A:A,A222))</f>
        <v/>
      </c>
      <c r="F222" s="17" t="str">
        <f>IF(A222="","",SUMPRODUCT((Completions!A$2:A$5000=A222)*IFERROR(VLOOKUP(Completions!B$2:B$5000,$J$4:$K$18,2,FALSE()),0)))</f>
        <v/>
      </c>
      <c r="G222" s="17" t="str">
        <f t="shared" si="3"/>
        <v/>
      </c>
      <c r="H222" s="17" t="str">
        <f>IF(A222="","",IFERROR(TEXT(_xludf.maxifs(Completions!G:G,Completions!A:A,A222),"yyyy-mm-dd hh:mm"),"—"))</f>
        <v/>
      </c>
    </row>
    <row r="223" spans="1:8" ht="21.75" customHeight="1" x14ac:dyDescent="0.2">
      <c r="A223" s="16" t="str">
        <f>IFERROR(IF(Members!A220="","",Members!A220),"")</f>
        <v/>
      </c>
      <c r="B223" s="16" t="str">
        <f>IFERROR(IF(Members!A220="","",Members!B220),"")</f>
        <v/>
      </c>
      <c r="C223" s="16" t="str">
        <f>IFERROR(IF(Members!A220="","",Members!C220),"")</f>
        <v/>
      </c>
      <c r="D223" s="16" t="str">
        <f>IFERROR(IF(Members!A220="","",Members!D220),"")</f>
        <v/>
      </c>
      <c r="E223" s="16" t="str">
        <f>IF(A223="","",COUNTIF(Completions!A:A,A223))</f>
        <v/>
      </c>
      <c r="F223" s="16" t="str">
        <f>IF(A223="","",SUMPRODUCT((Completions!A$2:A$5000=A223)*IFERROR(VLOOKUP(Completions!B$2:B$5000,$J$4:$K$18,2,FALSE()),0)))</f>
        <v/>
      </c>
      <c r="G223" s="16" t="str">
        <f t="shared" si="3"/>
        <v/>
      </c>
      <c r="H223" s="16" t="str">
        <f>IF(A223="","",IFERROR(TEXT(_xludf.maxifs(Completions!G:G,Completions!A:A,A223),"yyyy-mm-dd hh:mm"),"—"))</f>
        <v/>
      </c>
    </row>
    <row r="224" spans="1:8" ht="21.75" customHeight="1" x14ac:dyDescent="0.2">
      <c r="A224" s="17" t="str">
        <f>IFERROR(IF(Members!A221="","",Members!A221),"")</f>
        <v/>
      </c>
      <c r="B224" s="17" t="str">
        <f>IFERROR(IF(Members!A221="","",Members!B221),"")</f>
        <v/>
      </c>
      <c r="C224" s="17" t="str">
        <f>IFERROR(IF(Members!A221="","",Members!C221),"")</f>
        <v/>
      </c>
      <c r="D224" s="17" t="str">
        <f>IFERROR(IF(Members!A221="","",Members!D221),"")</f>
        <v/>
      </c>
      <c r="E224" s="17" t="str">
        <f>IF(A224="","",COUNTIF(Completions!A:A,A224))</f>
        <v/>
      </c>
      <c r="F224" s="17" t="str">
        <f>IF(A224="","",SUMPRODUCT((Completions!A$2:A$5000=A224)*IFERROR(VLOOKUP(Completions!B$2:B$5000,$J$4:$K$18,2,FALSE()),0)))</f>
        <v/>
      </c>
      <c r="G224" s="17" t="str">
        <f t="shared" si="3"/>
        <v/>
      </c>
      <c r="H224" s="17" t="str">
        <f>IF(A224="","",IFERROR(TEXT(_xludf.maxifs(Completions!G:G,Completions!A:A,A224),"yyyy-mm-dd hh:mm"),"—"))</f>
        <v/>
      </c>
    </row>
    <row r="225" spans="1:8" ht="21.75" customHeight="1" x14ac:dyDescent="0.2">
      <c r="A225" s="16" t="str">
        <f>IFERROR(IF(Members!A222="","",Members!A222),"")</f>
        <v/>
      </c>
      <c r="B225" s="16" t="str">
        <f>IFERROR(IF(Members!A222="","",Members!B222),"")</f>
        <v/>
      </c>
      <c r="C225" s="16" t="str">
        <f>IFERROR(IF(Members!A222="","",Members!C222),"")</f>
        <v/>
      </c>
      <c r="D225" s="16" t="str">
        <f>IFERROR(IF(Members!A222="","",Members!D222),"")</f>
        <v/>
      </c>
      <c r="E225" s="16" t="str">
        <f>IF(A225="","",COUNTIF(Completions!A:A,A225))</f>
        <v/>
      </c>
      <c r="F225" s="16" t="str">
        <f>IF(A225="","",SUMPRODUCT((Completions!A$2:A$5000=A225)*IFERROR(VLOOKUP(Completions!B$2:B$5000,$J$4:$K$18,2,FALSE()),0)))</f>
        <v/>
      </c>
      <c r="G225" s="16" t="str">
        <f t="shared" si="3"/>
        <v/>
      </c>
      <c r="H225" s="16" t="str">
        <f>IF(A225="","",IFERROR(TEXT(_xludf.maxifs(Completions!G:G,Completions!A:A,A225),"yyyy-mm-dd hh:mm"),"—"))</f>
        <v/>
      </c>
    </row>
    <row r="226" spans="1:8" ht="21.75" customHeight="1" x14ac:dyDescent="0.2">
      <c r="A226" s="17" t="str">
        <f>IFERROR(IF(Members!A223="","",Members!A223),"")</f>
        <v/>
      </c>
      <c r="B226" s="17" t="str">
        <f>IFERROR(IF(Members!A223="","",Members!B223),"")</f>
        <v/>
      </c>
      <c r="C226" s="17" t="str">
        <f>IFERROR(IF(Members!A223="","",Members!C223),"")</f>
        <v/>
      </c>
      <c r="D226" s="17" t="str">
        <f>IFERROR(IF(Members!A223="","",Members!D223),"")</f>
        <v/>
      </c>
      <c r="E226" s="17" t="str">
        <f>IF(A226="","",COUNTIF(Completions!A:A,A226))</f>
        <v/>
      </c>
      <c r="F226" s="17" t="str">
        <f>IF(A226="","",SUMPRODUCT((Completions!A$2:A$5000=A226)*IFERROR(VLOOKUP(Completions!B$2:B$5000,$J$4:$K$18,2,FALSE()),0)))</f>
        <v/>
      </c>
      <c r="G226" s="17" t="str">
        <f t="shared" si="3"/>
        <v/>
      </c>
      <c r="H226" s="17" t="str">
        <f>IF(A226="","",IFERROR(TEXT(_xludf.maxifs(Completions!G:G,Completions!A:A,A226),"yyyy-mm-dd hh:mm"),"—"))</f>
        <v/>
      </c>
    </row>
    <row r="227" spans="1:8" ht="21.75" customHeight="1" x14ac:dyDescent="0.2">
      <c r="A227" s="16" t="str">
        <f>IFERROR(IF(Members!A224="","",Members!A224),"")</f>
        <v/>
      </c>
      <c r="B227" s="16" t="str">
        <f>IFERROR(IF(Members!A224="","",Members!B224),"")</f>
        <v/>
      </c>
      <c r="C227" s="16" t="str">
        <f>IFERROR(IF(Members!A224="","",Members!C224),"")</f>
        <v/>
      </c>
      <c r="D227" s="16" t="str">
        <f>IFERROR(IF(Members!A224="","",Members!D224),"")</f>
        <v/>
      </c>
      <c r="E227" s="16" t="str">
        <f>IF(A227="","",COUNTIF(Completions!A:A,A227))</f>
        <v/>
      </c>
      <c r="F227" s="16" t="str">
        <f>IF(A227="","",SUMPRODUCT((Completions!A$2:A$5000=A227)*IFERROR(VLOOKUP(Completions!B$2:B$5000,$J$4:$K$18,2,FALSE()),0)))</f>
        <v/>
      </c>
      <c r="G227" s="16" t="str">
        <f t="shared" si="3"/>
        <v/>
      </c>
      <c r="H227" s="16" t="str">
        <f>IF(A227="","",IFERROR(TEXT(_xludf.maxifs(Completions!G:G,Completions!A:A,A227),"yyyy-mm-dd hh:mm"),"—"))</f>
        <v/>
      </c>
    </row>
    <row r="228" spans="1:8" ht="21.75" customHeight="1" x14ac:dyDescent="0.2">
      <c r="A228" s="17" t="str">
        <f>IFERROR(IF(Members!A225="","",Members!A225),"")</f>
        <v/>
      </c>
      <c r="B228" s="17" t="str">
        <f>IFERROR(IF(Members!A225="","",Members!B225),"")</f>
        <v/>
      </c>
      <c r="C228" s="17" t="str">
        <f>IFERROR(IF(Members!A225="","",Members!C225),"")</f>
        <v/>
      </c>
      <c r="D228" s="17" t="str">
        <f>IFERROR(IF(Members!A225="","",Members!D225),"")</f>
        <v/>
      </c>
      <c r="E228" s="17" t="str">
        <f>IF(A228="","",COUNTIF(Completions!A:A,A228))</f>
        <v/>
      </c>
      <c r="F228" s="17" t="str">
        <f>IF(A228="","",SUMPRODUCT((Completions!A$2:A$5000=A228)*IFERROR(VLOOKUP(Completions!B$2:B$5000,$J$4:$K$18,2,FALSE()),0)))</f>
        <v/>
      </c>
      <c r="G228" s="17" t="str">
        <f t="shared" si="3"/>
        <v/>
      </c>
      <c r="H228" s="17" t="str">
        <f>IF(A228="","",IFERROR(TEXT(_xludf.maxifs(Completions!G:G,Completions!A:A,A228),"yyyy-mm-dd hh:mm"),"—"))</f>
        <v/>
      </c>
    </row>
    <row r="229" spans="1:8" ht="21.75" customHeight="1" x14ac:dyDescent="0.2">
      <c r="A229" s="16" t="str">
        <f>IFERROR(IF(Members!A226="","",Members!A226),"")</f>
        <v/>
      </c>
      <c r="B229" s="16" t="str">
        <f>IFERROR(IF(Members!A226="","",Members!B226),"")</f>
        <v/>
      </c>
      <c r="C229" s="16" t="str">
        <f>IFERROR(IF(Members!A226="","",Members!C226),"")</f>
        <v/>
      </c>
      <c r="D229" s="16" t="str">
        <f>IFERROR(IF(Members!A226="","",Members!D226),"")</f>
        <v/>
      </c>
      <c r="E229" s="16" t="str">
        <f>IF(A229="","",COUNTIF(Completions!A:A,A229))</f>
        <v/>
      </c>
      <c r="F229" s="16" t="str">
        <f>IF(A229="","",SUMPRODUCT((Completions!A$2:A$5000=A229)*IFERROR(VLOOKUP(Completions!B$2:B$5000,$J$4:$K$18,2,FALSE()),0)))</f>
        <v/>
      </c>
      <c r="G229" s="16" t="str">
        <f t="shared" si="3"/>
        <v/>
      </c>
      <c r="H229" s="16" t="str">
        <f>IF(A229="","",IFERROR(TEXT(_xludf.maxifs(Completions!G:G,Completions!A:A,A229),"yyyy-mm-dd hh:mm"),"—"))</f>
        <v/>
      </c>
    </row>
    <row r="230" spans="1:8" ht="21.75" customHeight="1" x14ac:dyDescent="0.2">
      <c r="A230" s="17" t="str">
        <f>IFERROR(IF(Members!A227="","",Members!A227),"")</f>
        <v/>
      </c>
      <c r="B230" s="17" t="str">
        <f>IFERROR(IF(Members!A227="","",Members!B227),"")</f>
        <v/>
      </c>
      <c r="C230" s="17" t="str">
        <f>IFERROR(IF(Members!A227="","",Members!C227),"")</f>
        <v/>
      </c>
      <c r="D230" s="17" t="str">
        <f>IFERROR(IF(Members!A227="","",Members!D227),"")</f>
        <v/>
      </c>
      <c r="E230" s="17" t="str">
        <f>IF(A230="","",COUNTIF(Completions!A:A,A230))</f>
        <v/>
      </c>
      <c r="F230" s="17" t="str">
        <f>IF(A230="","",SUMPRODUCT((Completions!A$2:A$5000=A230)*IFERROR(VLOOKUP(Completions!B$2:B$5000,$J$4:$K$18,2,FALSE()),0)))</f>
        <v/>
      </c>
      <c r="G230" s="17" t="str">
        <f t="shared" si="3"/>
        <v/>
      </c>
      <c r="H230" s="17" t="str">
        <f>IF(A230="","",IFERROR(TEXT(_xludf.maxifs(Completions!G:G,Completions!A:A,A230),"yyyy-mm-dd hh:mm"),"—"))</f>
        <v/>
      </c>
    </row>
    <row r="231" spans="1:8" ht="21.75" customHeight="1" x14ac:dyDescent="0.2">
      <c r="A231" s="16" t="str">
        <f>IFERROR(IF(Members!A228="","",Members!A228),"")</f>
        <v/>
      </c>
      <c r="B231" s="16" t="str">
        <f>IFERROR(IF(Members!A228="","",Members!B228),"")</f>
        <v/>
      </c>
      <c r="C231" s="16" t="str">
        <f>IFERROR(IF(Members!A228="","",Members!C228),"")</f>
        <v/>
      </c>
      <c r="D231" s="16" t="str">
        <f>IFERROR(IF(Members!A228="","",Members!D228),"")</f>
        <v/>
      </c>
      <c r="E231" s="16" t="str">
        <f>IF(A231="","",COUNTIF(Completions!A:A,A231))</f>
        <v/>
      </c>
      <c r="F231" s="16" t="str">
        <f>IF(A231="","",SUMPRODUCT((Completions!A$2:A$5000=A231)*IFERROR(VLOOKUP(Completions!B$2:B$5000,$J$4:$K$18,2,FALSE()),0)))</f>
        <v/>
      </c>
      <c r="G231" s="16" t="str">
        <f t="shared" si="3"/>
        <v/>
      </c>
      <c r="H231" s="16" t="str">
        <f>IF(A231="","",IFERROR(TEXT(_xludf.maxifs(Completions!G:G,Completions!A:A,A231),"yyyy-mm-dd hh:mm"),"—"))</f>
        <v/>
      </c>
    </row>
    <row r="232" spans="1:8" ht="21.75" customHeight="1" x14ac:dyDescent="0.2">
      <c r="A232" s="17" t="str">
        <f>IFERROR(IF(Members!A229="","",Members!A229),"")</f>
        <v/>
      </c>
      <c r="B232" s="17" t="str">
        <f>IFERROR(IF(Members!A229="","",Members!B229),"")</f>
        <v/>
      </c>
      <c r="C232" s="17" t="str">
        <f>IFERROR(IF(Members!A229="","",Members!C229),"")</f>
        <v/>
      </c>
      <c r="D232" s="17" t="str">
        <f>IFERROR(IF(Members!A229="","",Members!D229),"")</f>
        <v/>
      </c>
      <c r="E232" s="17" t="str">
        <f>IF(A232="","",COUNTIF(Completions!A:A,A232))</f>
        <v/>
      </c>
      <c r="F232" s="17" t="str">
        <f>IF(A232="","",SUMPRODUCT((Completions!A$2:A$5000=A232)*IFERROR(VLOOKUP(Completions!B$2:B$5000,$J$4:$K$18,2,FALSE()),0)))</f>
        <v/>
      </c>
      <c r="G232" s="17" t="str">
        <f t="shared" si="3"/>
        <v/>
      </c>
      <c r="H232" s="17" t="str">
        <f>IF(A232="","",IFERROR(TEXT(_xludf.maxifs(Completions!G:G,Completions!A:A,A232),"yyyy-mm-dd hh:mm"),"—"))</f>
        <v/>
      </c>
    </row>
    <row r="233" spans="1:8" ht="21.75" customHeight="1" x14ac:dyDescent="0.2">
      <c r="A233" s="16" t="str">
        <f>IFERROR(IF(Members!A230="","",Members!A230),"")</f>
        <v/>
      </c>
      <c r="B233" s="16" t="str">
        <f>IFERROR(IF(Members!A230="","",Members!B230),"")</f>
        <v/>
      </c>
      <c r="C233" s="16" t="str">
        <f>IFERROR(IF(Members!A230="","",Members!C230),"")</f>
        <v/>
      </c>
      <c r="D233" s="16" t="str">
        <f>IFERROR(IF(Members!A230="","",Members!D230),"")</f>
        <v/>
      </c>
      <c r="E233" s="16" t="str">
        <f>IF(A233="","",COUNTIF(Completions!A:A,A233))</f>
        <v/>
      </c>
      <c r="F233" s="16" t="str">
        <f>IF(A233="","",SUMPRODUCT((Completions!A$2:A$5000=A233)*IFERROR(VLOOKUP(Completions!B$2:B$5000,$J$4:$K$18,2,FALSE()),0)))</f>
        <v/>
      </c>
      <c r="G233" s="16" t="str">
        <f t="shared" si="3"/>
        <v/>
      </c>
      <c r="H233" s="16" t="str">
        <f>IF(A233="","",IFERROR(TEXT(_xludf.maxifs(Completions!G:G,Completions!A:A,A233),"yyyy-mm-dd hh:mm"),"—"))</f>
        <v/>
      </c>
    </row>
    <row r="234" spans="1:8" ht="21.75" customHeight="1" x14ac:dyDescent="0.2">
      <c r="A234" s="17" t="str">
        <f>IFERROR(IF(Members!A231="","",Members!A231),"")</f>
        <v/>
      </c>
      <c r="B234" s="17" t="str">
        <f>IFERROR(IF(Members!A231="","",Members!B231),"")</f>
        <v/>
      </c>
      <c r="C234" s="17" t="str">
        <f>IFERROR(IF(Members!A231="","",Members!C231),"")</f>
        <v/>
      </c>
      <c r="D234" s="17" t="str">
        <f>IFERROR(IF(Members!A231="","",Members!D231),"")</f>
        <v/>
      </c>
      <c r="E234" s="17" t="str">
        <f>IF(A234="","",COUNTIF(Completions!A:A,A234))</f>
        <v/>
      </c>
      <c r="F234" s="17" t="str">
        <f>IF(A234="","",SUMPRODUCT((Completions!A$2:A$5000=A234)*IFERROR(VLOOKUP(Completions!B$2:B$5000,$J$4:$K$18,2,FALSE()),0)))</f>
        <v/>
      </c>
      <c r="G234" s="17" t="str">
        <f t="shared" si="3"/>
        <v/>
      </c>
      <c r="H234" s="17" t="str">
        <f>IF(A234="","",IFERROR(TEXT(_xludf.maxifs(Completions!G:G,Completions!A:A,A234),"yyyy-mm-dd hh:mm"),"—"))</f>
        <v/>
      </c>
    </row>
    <row r="235" spans="1:8" ht="21.75" customHeight="1" x14ac:dyDescent="0.2">
      <c r="A235" s="16" t="str">
        <f>IFERROR(IF(Members!A232="","",Members!A232),"")</f>
        <v/>
      </c>
      <c r="B235" s="16" t="str">
        <f>IFERROR(IF(Members!A232="","",Members!B232),"")</f>
        <v/>
      </c>
      <c r="C235" s="16" t="str">
        <f>IFERROR(IF(Members!A232="","",Members!C232),"")</f>
        <v/>
      </c>
      <c r="D235" s="16" t="str">
        <f>IFERROR(IF(Members!A232="","",Members!D232),"")</f>
        <v/>
      </c>
      <c r="E235" s="16" t="str">
        <f>IF(A235="","",COUNTIF(Completions!A:A,A235))</f>
        <v/>
      </c>
      <c r="F235" s="16" t="str">
        <f>IF(A235="","",SUMPRODUCT((Completions!A$2:A$5000=A235)*IFERROR(VLOOKUP(Completions!B$2:B$5000,$J$4:$K$18,2,FALSE()),0)))</f>
        <v/>
      </c>
      <c r="G235" s="16" t="str">
        <f t="shared" si="3"/>
        <v/>
      </c>
      <c r="H235" s="16" t="str">
        <f>IF(A235="","",IFERROR(TEXT(_xludf.maxifs(Completions!G:G,Completions!A:A,A235),"yyyy-mm-dd hh:mm"),"—"))</f>
        <v/>
      </c>
    </row>
    <row r="236" spans="1:8" ht="21.75" customHeight="1" x14ac:dyDescent="0.2">
      <c r="A236" s="17" t="str">
        <f>IFERROR(IF(Members!A233="","",Members!A233),"")</f>
        <v/>
      </c>
      <c r="B236" s="17" t="str">
        <f>IFERROR(IF(Members!A233="","",Members!B233),"")</f>
        <v/>
      </c>
      <c r="C236" s="17" t="str">
        <f>IFERROR(IF(Members!A233="","",Members!C233),"")</f>
        <v/>
      </c>
      <c r="D236" s="17" t="str">
        <f>IFERROR(IF(Members!A233="","",Members!D233),"")</f>
        <v/>
      </c>
      <c r="E236" s="17" t="str">
        <f>IF(A236="","",COUNTIF(Completions!A:A,A236))</f>
        <v/>
      </c>
      <c r="F236" s="17" t="str">
        <f>IF(A236="","",SUMPRODUCT((Completions!A$2:A$5000=A236)*IFERROR(VLOOKUP(Completions!B$2:B$5000,$J$4:$K$18,2,FALSE()),0)))</f>
        <v/>
      </c>
      <c r="G236" s="17" t="str">
        <f t="shared" si="3"/>
        <v/>
      </c>
      <c r="H236" s="17" t="str">
        <f>IF(A236="","",IFERROR(TEXT(_xludf.maxifs(Completions!G:G,Completions!A:A,A236),"yyyy-mm-dd hh:mm"),"—"))</f>
        <v/>
      </c>
    </row>
    <row r="237" spans="1:8" ht="21.75" customHeight="1" x14ac:dyDescent="0.2">
      <c r="A237" s="16" t="str">
        <f>IFERROR(IF(Members!A234="","",Members!A234),"")</f>
        <v/>
      </c>
      <c r="B237" s="16" t="str">
        <f>IFERROR(IF(Members!A234="","",Members!B234),"")</f>
        <v/>
      </c>
      <c r="C237" s="16" t="str">
        <f>IFERROR(IF(Members!A234="","",Members!C234),"")</f>
        <v/>
      </c>
      <c r="D237" s="16" t="str">
        <f>IFERROR(IF(Members!A234="","",Members!D234),"")</f>
        <v/>
      </c>
      <c r="E237" s="16" t="str">
        <f>IF(A237="","",COUNTIF(Completions!A:A,A237))</f>
        <v/>
      </c>
      <c r="F237" s="16" t="str">
        <f>IF(A237="","",SUMPRODUCT((Completions!A$2:A$5000=A237)*IFERROR(VLOOKUP(Completions!B$2:B$5000,$J$4:$K$18,2,FALSE()),0)))</f>
        <v/>
      </c>
      <c r="G237" s="16" t="str">
        <f t="shared" si="3"/>
        <v/>
      </c>
      <c r="H237" s="16" t="str">
        <f>IF(A237="","",IFERROR(TEXT(_xludf.maxifs(Completions!G:G,Completions!A:A,A237),"yyyy-mm-dd hh:mm"),"—"))</f>
        <v/>
      </c>
    </row>
    <row r="238" spans="1:8" ht="21.75" customHeight="1" x14ac:dyDescent="0.2">
      <c r="A238" s="17" t="str">
        <f>IFERROR(IF(Members!A235="","",Members!A235),"")</f>
        <v/>
      </c>
      <c r="B238" s="17" t="str">
        <f>IFERROR(IF(Members!A235="","",Members!B235),"")</f>
        <v/>
      </c>
      <c r="C238" s="17" t="str">
        <f>IFERROR(IF(Members!A235="","",Members!C235),"")</f>
        <v/>
      </c>
      <c r="D238" s="17" t="str">
        <f>IFERROR(IF(Members!A235="","",Members!D235),"")</f>
        <v/>
      </c>
      <c r="E238" s="17" t="str">
        <f>IF(A238="","",COUNTIF(Completions!A:A,A238))</f>
        <v/>
      </c>
      <c r="F238" s="17" t="str">
        <f>IF(A238="","",SUMPRODUCT((Completions!A$2:A$5000=A238)*IFERROR(VLOOKUP(Completions!B$2:B$5000,$J$4:$K$18,2,FALSE()),0)))</f>
        <v/>
      </c>
      <c r="G238" s="17" t="str">
        <f t="shared" si="3"/>
        <v/>
      </c>
      <c r="H238" s="17" t="str">
        <f>IF(A238="","",IFERROR(TEXT(_xludf.maxifs(Completions!G:G,Completions!A:A,A238),"yyyy-mm-dd hh:mm"),"—"))</f>
        <v/>
      </c>
    </row>
    <row r="239" spans="1:8" ht="21.75" customHeight="1" x14ac:dyDescent="0.2">
      <c r="A239" s="16" t="str">
        <f>IFERROR(IF(Members!A236="","",Members!A236),"")</f>
        <v/>
      </c>
      <c r="B239" s="16" t="str">
        <f>IFERROR(IF(Members!A236="","",Members!B236),"")</f>
        <v/>
      </c>
      <c r="C239" s="16" t="str">
        <f>IFERROR(IF(Members!A236="","",Members!C236),"")</f>
        <v/>
      </c>
      <c r="D239" s="16" t="str">
        <f>IFERROR(IF(Members!A236="","",Members!D236),"")</f>
        <v/>
      </c>
      <c r="E239" s="16" t="str">
        <f>IF(A239="","",COUNTIF(Completions!A:A,A239))</f>
        <v/>
      </c>
      <c r="F239" s="16" t="str">
        <f>IF(A239="","",SUMPRODUCT((Completions!A$2:A$5000=A239)*IFERROR(VLOOKUP(Completions!B$2:B$5000,$J$4:$K$18,2,FALSE()),0)))</f>
        <v/>
      </c>
      <c r="G239" s="16" t="str">
        <f t="shared" si="3"/>
        <v/>
      </c>
      <c r="H239" s="16" t="str">
        <f>IF(A239="","",IFERROR(TEXT(_xludf.maxifs(Completions!G:G,Completions!A:A,A239),"yyyy-mm-dd hh:mm"),"—"))</f>
        <v/>
      </c>
    </row>
    <row r="240" spans="1:8" ht="21.75" customHeight="1" x14ac:dyDescent="0.2">
      <c r="A240" s="17" t="str">
        <f>IFERROR(IF(Members!A237="","",Members!A237),"")</f>
        <v/>
      </c>
      <c r="B240" s="17" t="str">
        <f>IFERROR(IF(Members!A237="","",Members!B237),"")</f>
        <v/>
      </c>
      <c r="C240" s="17" t="str">
        <f>IFERROR(IF(Members!A237="","",Members!C237),"")</f>
        <v/>
      </c>
      <c r="D240" s="17" t="str">
        <f>IFERROR(IF(Members!A237="","",Members!D237),"")</f>
        <v/>
      </c>
      <c r="E240" s="17" t="str">
        <f>IF(A240="","",COUNTIF(Completions!A:A,A240))</f>
        <v/>
      </c>
      <c r="F240" s="17" t="str">
        <f>IF(A240="","",SUMPRODUCT((Completions!A$2:A$5000=A240)*IFERROR(VLOOKUP(Completions!B$2:B$5000,$J$4:$K$18,2,FALSE()),0)))</f>
        <v/>
      </c>
      <c r="G240" s="17" t="str">
        <f t="shared" si="3"/>
        <v/>
      </c>
      <c r="H240" s="17" t="str">
        <f>IF(A240="","",IFERROR(TEXT(_xludf.maxifs(Completions!G:G,Completions!A:A,A240),"yyyy-mm-dd hh:mm"),"—"))</f>
        <v/>
      </c>
    </row>
    <row r="241" spans="1:8" ht="21.75" customHeight="1" x14ac:dyDescent="0.2">
      <c r="A241" s="16" t="str">
        <f>IFERROR(IF(Members!A238="","",Members!A238),"")</f>
        <v/>
      </c>
      <c r="B241" s="16" t="str">
        <f>IFERROR(IF(Members!A238="","",Members!B238),"")</f>
        <v/>
      </c>
      <c r="C241" s="16" t="str">
        <f>IFERROR(IF(Members!A238="","",Members!C238),"")</f>
        <v/>
      </c>
      <c r="D241" s="16" t="str">
        <f>IFERROR(IF(Members!A238="","",Members!D238),"")</f>
        <v/>
      </c>
      <c r="E241" s="16" t="str">
        <f>IF(A241="","",COUNTIF(Completions!A:A,A241))</f>
        <v/>
      </c>
      <c r="F241" s="16" t="str">
        <f>IF(A241="","",SUMPRODUCT((Completions!A$2:A$5000=A241)*IFERROR(VLOOKUP(Completions!B$2:B$5000,$J$4:$K$18,2,FALSE()),0)))</f>
        <v/>
      </c>
      <c r="G241" s="16" t="str">
        <f t="shared" si="3"/>
        <v/>
      </c>
      <c r="H241" s="16" t="str">
        <f>IF(A241="","",IFERROR(TEXT(_xludf.maxifs(Completions!G:G,Completions!A:A,A241),"yyyy-mm-dd hh:mm"),"—"))</f>
        <v/>
      </c>
    </row>
    <row r="242" spans="1:8" ht="21.75" customHeight="1" x14ac:dyDescent="0.2">
      <c r="A242" s="17" t="str">
        <f>IFERROR(IF(Members!A239="","",Members!A239),"")</f>
        <v/>
      </c>
      <c r="B242" s="17" t="str">
        <f>IFERROR(IF(Members!A239="","",Members!B239),"")</f>
        <v/>
      </c>
      <c r="C242" s="17" t="str">
        <f>IFERROR(IF(Members!A239="","",Members!C239),"")</f>
        <v/>
      </c>
      <c r="D242" s="17" t="str">
        <f>IFERROR(IF(Members!A239="","",Members!D239),"")</f>
        <v/>
      </c>
      <c r="E242" s="17" t="str">
        <f>IF(A242="","",COUNTIF(Completions!A:A,A242))</f>
        <v/>
      </c>
      <c r="F242" s="17" t="str">
        <f>IF(A242="","",SUMPRODUCT((Completions!A$2:A$5000=A242)*IFERROR(VLOOKUP(Completions!B$2:B$5000,$J$4:$K$18,2,FALSE()),0)))</f>
        <v/>
      </c>
      <c r="G242" s="17" t="str">
        <f t="shared" si="3"/>
        <v/>
      </c>
      <c r="H242" s="17" t="str">
        <f>IF(A242="","",IFERROR(TEXT(_xludf.maxifs(Completions!G:G,Completions!A:A,A242),"yyyy-mm-dd hh:mm"),"—"))</f>
        <v/>
      </c>
    </row>
    <row r="243" spans="1:8" ht="21.75" customHeight="1" x14ac:dyDescent="0.2">
      <c r="A243" s="16" t="str">
        <f>IFERROR(IF(Members!A240="","",Members!A240),"")</f>
        <v/>
      </c>
      <c r="B243" s="16" t="str">
        <f>IFERROR(IF(Members!A240="","",Members!B240),"")</f>
        <v/>
      </c>
      <c r="C243" s="16" t="str">
        <f>IFERROR(IF(Members!A240="","",Members!C240),"")</f>
        <v/>
      </c>
      <c r="D243" s="16" t="str">
        <f>IFERROR(IF(Members!A240="","",Members!D240),"")</f>
        <v/>
      </c>
      <c r="E243" s="16" t="str">
        <f>IF(A243="","",COUNTIF(Completions!A:A,A243))</f>
        <v/>
      </c>
      <c r="F243" s="16" t="str">
        <f>IF(A243="","",SUMPRODUCT((Completions!A$2:A$5000=A243)*IFERROR(VLOOKUP(Completions!B$2:B$5000,$J$4:$K$18,2,FALSE()),0)))</f>
        <v/>
      </c>
      <c r="G243" s="16" t="str">
        <f t="shared" si="3"/>
        <v/>
      </c>
      <c r="H243" s="16" t="str">
        <f>IF(A243="","",IFERROR(TEXT(_xludf.maxifs(Completions!G:G,Completions!A:A,A243),"yyyy-mm-dd hh:mm"),"—"))</f>
        <v/>
      </c>
    </row>
    <row r="244" spans="1:8" ht="21.75" customHeight="1" x14ac:dyDescent="0.2">
      <c r="A244" s="17" t="str">
        <f>IFERROR(IF(Members!A241="","",Members!A241),"")</f>
        <v/>
      </c>
      <c r="B244" s="17" t="str">
        <f>IFERROR(IF(Members!A241="","",Members!B241),"")</f>
        <v/>
      </c>
      <c r="C244" s="17" t="str">
        <f>IFERROR(IF(Members!A241="","",Members!C241),"")</f>
        <v/>
      </c>
      <c r="D244" s="17" t="str">
        <f>IFERROR(IF(Members!A241="","",Members!D241),"")</f>
        <v/>
      </c>
      <c r="E244" s="17" t="str">
        <f>IF(A244="","",COUNTIF(Completions!A:A,A244))</f>
        <v/>
      </c>
      <c r="F244" s="17" t="str">
        <f>IF(A244="","",SUMPRODUCT((Completions!A$2:A$5000=A244)*IFERROR(VLOOKUP(Completions!B$2:B$5000,$J$4:$K$18,2,FALSE()),0)))</f>
        <v/>
      </c>
      <c r="G244" s="17" t="str">
        <f t="shared" si="3"/>
        <v/>
      </c>
      <c r="H244" s="17" t="str">
        <f>IF(A244="","",IFERROR(TEXT(_xludf.maxifs(Completions!G:G,Completions!A:A,A244),"yyyy-mm-dd hh:mm"),"—"))</f>
        <v/>
      </c>
    </row>
    <row r="245" spans="1:8" ht="21.75" customHeight="1" x14ac:dyDescent="0.2">
      <c r="A245" s="16" t="str">
        <f>IFERROR(IF(Members!A242="","",Members!A242),"")</f>
        <v/>
      </c>
      <c r="B245" s="16" t="str">
        <f>IFERROR(IF(Members!A242="","",Members!B242),"")</f>
        <v/>
      </c>
      <c r="C245" s="16" t="str">
        <f>IFERROR(IF(Members!A242="","",Members!C242),"")</f>
        <v/>
      </c>
      <c r="D245" s="16" t="str">
        <f>IFERROR(IF(Members!A242="","",Members!D242),"")</f>
        <v/>
      </c>
      <c r="E245" s="16" t="str">
        <f>IF(A245="","",COUNTIF(Completions!A:A,A245))</f>
        <v/>
      </c>
      <c r="F245" s="16" t="str">
        <f>IF(A245="","",SUMPRODUCT((Completions!A$2:A$5000=A245)*IFERROR(VLOOKUP(Completions!B$2:B$5000,$J$4:$K$18,2,FALSE()),0)))</f>
        <v/>
      </c>
      <c r="G245" s="16" t="str">
        <f t="shared" si="3"/>
        <v/>
      </c>
      <c r="H245" s="16" t="str">
        <f>IF(A245="","",IFERROR(TEXT(_xludf.maxifs(Completions!G:G,Completions!A:A,A245),"yyyy-mm-dd hh:mm"),"—"))</f>
        <v/>
      </c>
    </row>
    <row r="246" spans="1:8" ht="21.75" customHeight="1" x14ac:dyDescent="0.2">
      <c r="A246" s="17" t="str">
        <f>IFERROR(IF(Members!A243="","",Members!A243),"")</f>
        <v/>
      </c>
      <c r="B246" s="17" t="str">
        <f>IFERROR(IF(Members!A243="","",Members!B243),"")</f>
        <v/>
      </c>
      <c r="C246" s="17" t="str">
        <f>IFERROR(IF(Members!A243="","",Members!C243),"")</f>
        <v/>
      </c>
      <c r="D246" s="17" t="str">
        <f>IFERROR(IF(Members!A243="","",Members!D243),"")</f>
        <v/>
      </c>
      <c r="E246" s="17" t="str">
        <f>IF(A246="","",COUNTIF(Completions!A:A,A246))</f>
        <v/>
      </c>
      <c r="F246" s="17" t="str">
        <f>IF(A246="","",SUMPRODUCT((Completions!A$2:A$5000=A246)*IFERROR(VLOOKUP(Completions!B$2:B$5000,$J$4:$K$18,2,FALSE()),0)))</f>
        <v/>
      </c>
      <c r="G246" s="17" t="str">
        <f t="shared" si="3"/>
        <v/>
      </c>
      <c r="H246" s="17" t="str">
        <f>IF(A246="","",IFERROR(TEXT(_xludf.maxifs(Completions!G:G,Completions!A:A,A246),"yyyy-mm-dd hh:mm"),"—"))</f>
        <v/>
      </c>
    </row>
    <row r="247" spans="1:8" ht="21.75" customHeight="1" x14ac:dyDescent="0.2">
      <c r="A247" s="16" t="str">
        <f>IFERROR(IF(Members!A244="","",Members!A244),"")</f>
        <v/>
      </c>
      <c r="B247" s="16" t="str">
        <f>IFERROR(IF(Members!A244="","",Members!B244),"")</f>
        <v/>
      </c>
      <c r="C247" s="16" t="str">
        <f>IFERROR(IF(Members!A244="","",Members!C244),"")</f>
        <v/>
      </c>
      <c r="D247" s="16" t="str">
        <f>IFERROR(IF(Members!A244="","",Members!D244),"")</f>
        <v/>
      </c>
      <c r="E247" s="16" t="str">
        <f>IF(A247="","",COUNTIF(Completions!A:A,A247))</f>
        <v/>
      </c>
      <c r="F247" s="16" t="str">
        <f>IF(A247="","",SUMPRODUCT((Completions!A$2:A$5000=A247)*IFERROR(VLOOKUP(Completions!B$2:B$5000,$J$4:$K$18,2,FALSE()),0)))</f>
        <v/>
      </c>
      <c r="G247" s="16" t="str">
        <f t="shared" si="3"/>
        <v/>
      </c>
      <c r="H247" s="16" t="str">
        <f>IF(A247="","",IFERROR(TEXT(_xludf.maxifs(Completions!G:G,Completions!A:A,A247),"yyyy-mm-dd hh:mm"),"—"))</f>
        <v/>
      </c>
    </row>
    <row r="248" spans="1:8" ht="21.75" customHeight="1" x14ac:dyDescent="0.2">
      <c r="A248" s="17" t="str">
        <f>IFERROR(IF(Members!A245="","",Members!A245),"")</f>
        <v/>
      </c>
      <c r="B248" s="17" t="str">
        <f>IFERROR(IF(Members!A245="","",Members!B245),"")</f>
        <v/>
      </c>
      <c r="C248" s="17" t="str">
        <f>IFERROR(IF(Members!A245="","",Members!C245),"")</f>
        <v/>
      </c>
      <c r="D248" s="17" t="str">
        <f>IFERROR(IF(Members!A245="","",Members!D245),"")</f>
        <v/>
      </c>
      <c r="E248" s="17" t="str">
        <f>IF(A248="","",COUNTIF(Completions!A:A,A248))</f>
        <v/>
      </c>
      <c r="F248" s="17" t="str">
        <f>IF(A248="","",SUMPRODUCT((Completions!A$2:A$5000=A248)*IFERROR(VLOOKUP(Completions!B$2:B$5000,$J$4:$K$18,2,FALSE()),0)))</f>
        <v/>
      </c>
      <c r="G248" s="17" t="str">
        <f t="shared" si="3"/>
        <v/>
      </c>
      <c r="H248" s="17" t="str">
        <f>IF(A248="","",IFERROR(TEXT(_xludf.maxifs(Completions!G:G,Completions!A:A,A248),"yyyy-mm-dd hh:mm"),"—"))</f>
        <v/>
      </c>
    </row>
    <row r="249" spans="1:8" ht="21.75" customHeight="1" x14ac:dyDescent="0.2">
      <c r="A249" s="16" t="str">
        <f>IFERROR(IF(Members!A246="","",Members!A246),"")</f>
        <v/>
      </c>
      <c r="B249" s="16" t="str">
        <f>IFERROR(IF(Members!A246="","",Members!B246),"")</f>
        <v/>
      </c>
      <c r="C249" s="16" t="str">
        <f>IFERROR(IF(Members!A246="","",Members!C246),"")</f>
        <v/>
      </c>
      <c r="D249" s="16" t="str">
        <f>IFERROR(IF(Members!A246="","",Members!D246),"")</f>
        <v/>
      </c>
      <c r="E249" s="16" t="str">
        <f>IF(A249="","",COUNTIF(Completions!A:A,A249))</f>
        <v/>
      </c>
      <c r="F249" s="16" t="str">
        <f>IF(A249="","",SUMPRODUCT((Completions!A$2:A$5000=A249)*IFERROR(VLOOKUP(Completions!B$2:B$5000,$J$4:$K$18,2,FALSE()),0)))</f>
        <v/>
      </c>
      <c r="G249" s="16" t="str">
        <f t="shared" si="3"/>
        <v/>
      </c>
      <c r="H249" s="16" t="str">
        <f>IF(A249="","",IFERROR(TEXT(_xludf.maxifs(Completions!G:G,Completions!A:A,A249),"yyyy-mm-dd hh:mm"),"—"))</f>
        <v/>
      </c>
    </row>
    <row r="250" spans="1:8" ht="21.75" customHeight="1" x14ac:dyDescent="0.2">
      <c r="A250" s="17" t="str">
        <f>IFERROR(IF(Members!A247="","",Members!A247),"")</f>
        <v/>
      </c>
      <c r="B250" s="17" t="str">
        <f>IFERROR(IF(Members!A247="","",Members!B247),"")</f>
        <v/>
      </c>
      <c r="C250" s="17" t="str">
        <f>IFERROR(IF(Members!A247="","",Members!C247),"")</f>
        <v/>
      </c>
      <c r="D250" s="17" t="str">
        <f>IFERROR(IF(Members!A247="","",Members!D247),"")</f>
        <v/>
      </c>
      <c r="E250" s="17" t="str">
        <f>IF(A250="","",COUNTIF(Completions!A:A,A250))</f>
        <v/>
      </c>
      <c r="F250" s="17" t="str">
        <f>IF(A250="","",SUMPRODUCT((Completions!A$2:A$5000=A250)*IFERROR(VLOOKUP(Completions!B$2:B$5000,$J$4:$K$18,2,FALSE()),0)))</f>
        <v/>
      </c>
      <c r="G250" s="17" t="str">
        <f t="shared" si="3"/>
        <v/>
      </c>
      <c r="H250" s="17" t="str">
        <f>IF(A250="","",IFERROR(TEXT(_xludf.maxifs(Completions!G:G,Completions!A:A,A250),"yyyy-mm-dd hh:mm"),"—"))</f>
        <v/>
      </c>
    </row>
    <row r="251" spans="1:8" ht="21.75" customHeight="1" x14ac:dyDescent="0.2">
      <c r="A251" s="16" t="str">
        <f>IFERROR(IF(Members!A248="","",Members!A248),"")</f>
        <v/>
      </c>
      <c r="B251" s="16" t="str">
        <f>IFERROR(IF(Members!A248="","",Members!B248),"")</f>
        <v/>
      </c>
      <c r="C251" s="16" t="str">
        <f>IFERROR(IF(Members!A248="","",Members!C248),"")</f>
        <v/>
      </c>
      <c r="D251" s="16" t="str">
        <f>IFERROR(IF(Members!A248="","",Members!D248),"")</f>
        <v/>
      </c>
      <c r="E251" s="16" t="str">
        <f>IF(A251="","",COUNTIF(Completions!A:A,A251))</f>
        <v/>
      </c>
      <c r="F251" s="16" t="str">
        <f>IF(A251="","",SUMPRODUCT((Completions!A$2:A$5000=A251)*IFERROR(VLOOKUP(Completions!B$2:B$5000,$J$4:$K$18,2,FALSE()),0)))</f>
        <v/>
      </c>
      <c r="G251" s="16" t="str">
        <f t="shared" si="3"/>
        <v/>
      </c>
      <c r="H251" s="16" t="str">
        <f>IF(A251="","",IFERROR(TEXT(_xludf.maxifs(Completions!G:G,Completions!A:A,A251),"yyyy-mm-dd hh:mm"),"—"))</f>
        <v/>
      </c>
    </row>
    <row r="252" spans="1:8" ht="21.75" customHeight="1" x14ac:dyDescent="0.2">
      <c r="A252" s="17" t="str">
        <f>IFERROR(IF(Members!A249="","",Members!A249),"")</f>
        <v/>
      </c>
      <c r="B252" s="17" t="str">
        <f>IFERROR(IF(Members!A249="","",Members!B249),"")</f>
        <v/>
      </c>
      <c r="C252" s="17" t="str">
        <f>IFERROR(IF(Members!A249="","",Members!C249),"")</f>
        <v/>
      </c>
      <c r="D252" s="17" t="str">
        <f>IFERROR(IF(Members!A249="","",Members!D249),"")</f>
        <v/>
      </c>
      <c r="E252" s="17" t="str">
        <f>IF(A252="","",COUNTIF(Completions!A:A,A252))</f>
        <v/>
      </c>
      <c r="F252" s="17" t="str">
        <f>IF(A252="","",SUMPRODUCT((Completions!A$2:A$5000=A252)*IFERROR(VLOOKUP(Completions!B$2:B$5000,$J$4:$K$18,2,FALSE()),0)))</f>
        <v/>
      </c>
      <c r="G252" s="17" t="str">
        <f t="shared" si="3"/>
        <v/>
      </c>
      <c r="H252" s="17" t="str">
        <f>IF(A252="","",IFERROR(TEXT(_xludf.maxifs(Completions!G:G,Completions!A:A,A252),"yyyy-mm-dd hh:mm"),"—"))</f>
        <v/>
      </c>
    </row>
    <row r="253" spans="1:8" ht="21.75" customHeight="1" x14ac:dyDescent="0.2">
      <c r="A253" s="16" t="str">
        <f>IFERROR(IF(Members!A250="","",Members!A250),"")</f>
        <v/>
      </c>
      <c r="B253" s="16" t="str">
        <f>IFERROR(IF(Members!A250="","",Members!B250),"")</f>
        <v/>
      </c>
      <c r="C253" s="16" t="str">
        <f>IFERROR(IF(Members!A250="","",Members!C250),"")</f>
        <v/>
      </c>
      <c r="D253" s="16" t="str">
        <f>IFERROR(IF(Members!A250="","",Members!D250),"")</f>
        <v/>
      </c>
      <c r="E253" s="16" t="str">
        <f>IF(A253="","",COUNTIF(Completions!A:A,A253))</f>
        <v/>
      </c>
      <c r="F253" s="16" t="str">
        <f>IF(A253="","",SUMPRODUCT((Completions!A$2:A$5000=A253)*IFERROR(VLOOKUP(Completions!B$2:B$5000,$J$4:$K$18,2,FALSE()),0)))</f>
        <v/>
      </c>
      <c r="G253" s="16" t="str">
        <f t="shared" si="3"/>
        <v/>
      </c>
      <c r="H253" s="16" t="str">
        <f>IF(A253="","",IFERROR(TEXT(_xludf.maxifs(Completions!G:G,Completions!A:A,A253),"yyyy-mm-dd hh:mm"),"—"))</f>
        <v/>
      </c>
    </row>
    <row r="254" spans="1:8" ht="21.75" customHeight="1" x14ac:dyDescent="0.2">
      <c r="A254" s="17" t="str">
        <f>IFERROR(IF(Members!A251="","",Members!A251),"")</f>
        <v/>
      </c>
      <c r="B254" s="17" t="str">
        <f>IFERROR(IF(Members!A251="","",Members!B251),"")</f>
        <v/>
      </c>
      <c r="C254" s="17" t="str">
        <f>IFERROR(IF(Members!A251="","",Members!C251),"")</f>
        <v/>
      </c>
      <c r="D254" s="17" t="str">
        <f>IFERROR(IF(Members!A251="","",Members!D251),"")</f>
        <v/>
      </c>
      <c r="E254" s="17" t="str">
        <f>IF(A254="","",COUNTIF(Completions!A:A,A254))</f>
        <v/>
      </c>
      <c r="F254" s="17" t="str">
        <f>IF(A254="","",SUMPRODUCT((Completions!A$2:A$5000=A254)*IFERROR(VLOOKUP(Completions!B$2:B$5000,$J$4:$K$18,2,FALSE()),0)))</f>
        <v/>
      </c>
      <c r="G254" s="17" t="str">
        <f t="shared" si="3"/>
        <v/>
      </c>
      <c r="H254" s="17" t="str">
        <f>IF(A254="","",IFERROR(TEXT(_xludf.maxifs(Completions!G:G,Completions!A:A,A254),"yyyy-mm-dd hh:mm"),"—"))</f>
        <v/>
      </c>
    </row>
    <row r="255" spans="1:8" ht="21.75" customHeight="1" x14ac:dyDescent="0.2">
      <c r="A255" s="16" t="str">
        <f>IFERROR(IF(Members!A252="","",Members!A252),"")</f>
        <v/>
      </c>
      <c r="B255" s="16" t="str">
        <f>IFERROR(IF(Members!A252="","",Members!B252),"")</f>
        <v/>
      </c>
      <c r="C255" s="16" t="str">
        <f>IFERROR(IF(Members!A252="","",Members!C252),"")</f>
        <v/>
      </c>
      <c r="D255" s="16" t="str">
        <f>IFERROR(IF(Members!A252="","",Members!D252),"")</f>
        <v/>
      </c>
      <c r="E255" s="16" t="str">
        <f>IF(A255="","",COUNTIF(Completions!A:A,A255))</f>
        <v/>
      </c>
      <c r="F255" s="16" t="str">
        <f>IF(A255="","",SUMPRODUCT((Completions!A$2:A$5000=A255)*IFERROR(VLOOKUP(Completions!B$2:B$5000,$J$4:$K$18,2,FALSE()),0)))</f>
        <v/>
      </c>
      <c r="G255" s="16" t="str">
        <f t="shared" si="3"/>
        <v/>
      </c>
      <c r="H255" s="16" t="str">
        <f>IF(A255="","",IFERROR(TEXT(_xludf.maxifs(Completions!G:G,Completions!A:A,A255),"yyyy-mm-dd hh:mm"),"—"))</f>
        <v/>
      </c>
    </row>
    <row r="256" spans="1:8" ht="21.75" customHeight="1" x14ac:dyDescent="0.2">
      <c r="A256" s="17" t="str">
        <f>IFERROR(IF(Members!A253="","",Members!A253),"")</f>
        <v/>
      </c>
      <c r="B256" s="17" t="str">
        <f>IFERROR(IF(Members!A253="","",Members!B253),"")</f>
        <v/>
      </c>
      <c r="C256" s="17" t="str">
        <f>IFERROR(IF(Members!A253="","",Members!C253),"")</f>
        <v/>
      </c>
      <c r="D256" s="17" t="str">
        <f>IFERROR(IF(Members!A253="","",Members!D253),"")</f>
        <v/>
      </c>
      <c r="E256" s="17" t="str">
        <f>IF(A256="","",COUNTIF(Completions!A:A,A256))</f>
        <v/>
      </c>
      <c r="F256" s="17" t="str">
        <f>IF(A256="","",SUMPRODUCT((Completions!A$2:A$5000=A256)*IFERROR(VLOOKUP(Completions!B$2:B$5000,$J$4:$K$18,2,FALSE()),0)))</f>
        <v/>
      </c>
      <c r="G256" s="17" t="str">
        <f t="shared" si="3"/>
        <v/>
      </c>
      <c r="H256" s="17" t="str">
        <f>IF(A256="","",IFERROR(TEXT(_xludf.maxifs(Completions!G:G,Completions!A:A,A256),"yyyy-mm-dd hh:mm"),"—"))</f>
        <v/>
      </c>
    </row>
    <row r="257" spans="1:8" ht="21.75" customHeight="1" x14ac:dyDescent="0.2">
      <c r="A257" s="16" t="str">
        <f>IFERROR(IF(Members!A254="","",Members!A254),"")</f>
        <v/>
      </c>
      <c r="B257" s="16" t="str">
        <f>IFERROR(IF(Members!A254="","",Members!B254),"")</f>
        <v/>
      </c>
      <c r="C257" s="16" t="str">
        <f>IFERROR(IF(Members!A254="","",Members!C254),"")</f>
        <v/>
      </c>
      <c r="D257" s="16" t="str">
        <f>IFERROR(IF(Members!A254="","",Members!D254),"")</f>
        <v/>
      </c>
      <c r="E257" s="16" t="str">
        <f>IF(A257="","",COUNTIF(Completions!A:A,A257))</f>
        <v/>
      </c>
      <c r="F257" s="16" t="str">
        <f>IF(A257="","",SUMPRODUCT((Completions!A$2:A$5000=A257)*IFERROR(VLOOKUP(Completions!B$2:B$5000,$J$4:$K$18,2,FALSE()),0)))</f>
        <v/>
      </c>
      <c r="G257" s="16" t="str">
        <f t="shared" si="3"/>
        <v/>
      </c>
      <c r="H257" s="16" t="str">
        <f>IF(A257="","",IFERROR(TEXT(_xludf.maxifs(Completions!G:G,Completions!A:A,A257),"yyyy-mm-dd hh:mm"),"—"))</f>
        <v/>
      </c>
    </row>
    <row r="258" spans="1:8" ht="21.75" customHeight="1" x14ac:dyDescent="0.2">
      <c r="A258" s="17" t="str">
        <f>IFERROR(IF(Members!A255="","",Members!A255),"")</f>
        <v/>
      </c>
      <c r="B258" s="17" t="str">
        <f>IFERROR(IF(Members!A255="","",Members!B255),"")</f>
        <v/>
      </c>
      <c r="C258" s="17" t="str">
        <f>IFERROR(IF(Members!A255="","",Members!C255),"")</f>
        <v/>
      </c>
      <c r="D258" s="17" t="str">
        <f>IFERROR(IF(Members!A255="","",Members!D255),"")</f>
        <v/>
      </c>
      <c r="E258" s="17" t="str">
        <f>IF(A258="","",COUNTIF(Completions!A:A,A258))</f>
        <v/>
      </c>
      <c r="F258" s="17" t="str">
        <f>IF(A258="","",SUMPRODUCT((Completions!A$2:A$5000=A258)*IFERROR(VLOOKUP(Completions!B$2:B$5000,$J$4:$K$18,2,FALSE()),0)))</f>
        <v/>
      </c>
      <c r="G258" s="17" t="str">
        <f t="shared" si="3"/>
        <v/>
      </c>
      <c r="H258" s="17" t="str">
        <f>IF(A258="","",IFERROR(TEXT(_xludf.maxifs(Completions!G:G,Completions!A:A,A258),"yyyy-mm-dd hh:mm"),"—"))</f>
        <v/>
      </c>
    </row>
    <row r="259" spans="1:8" ht="21.75" customHeight="1" x14ac:dyDescent="0.2">
      <c r="A259" s="16" t="str">
        <f>IFERROR(IF(Members!A256="","",Members!A256),"")</f>
        <v/>
      </c>
      <c r="B259" s="16" t="str">
        <f>IFERROR(IF(Members!A256="","",Members!B256),"")</f>
        <v/>
      </c>
      <c r="C259" s="16" t="str">
        <f>IFERROR(IF(Members!A256="","",Members!C256),"")</f>
        <v/>
      </c>
      <c r="D259" s="16" t="str">
        <f>IFERROR(IF(Members!A256="","",Members!D256),"")</f>
        <v/>
      </c>
      <c r="E259" s="16" t="str">
        <f>IF(A259="","",COUNTIF(Completions!A:A,A259))</f>
        <v/>
      </c>
      <c r="F259" s="16" t="str">
        <f>IF(A259="","",SUMPRODUCT((Completions!A$2:A$5000=A259)*IFERROR(VLOOKUP(Completions!B$2:B$5000,$J$4:$K$18,2,FALSE()),0)))</f>
        <v/>
      </c>
      <c r="G259" s="16" t="str">
        <f t="shared" si="3"/>
        <v/>
      </c>
      <c r="H259" s="16" t="str">
        <f>IF(A259="","",IFERROR(TEXT(_xludf.maxifs(Completions!G:G,Completions!A:A,A259),"yyyy-mm-dd hh:mm"),"—"))</f>
        <v/>
      </c>
    </row>
    <row r="260" spans="1:8" ht="21.75" customHeight="1" x14ac:dyDescent="0.2">
      <c r="A260" s="17" t="str">
        <f>IFERROR(IF(Members!A257="","",Members!A257),"")</f>
        <v/>
      </c>
      <c r="B260" s="17" t="str">
        <f>IFERROR(IF(Members!A257="","",Members!B257),"")</f>
        <v/>
      </c>
      <c r="C260" s="17" t="str">
        <f>IFERROR(IF(Members!A257="","",Members!C257),"")</f>
        <v/>
      </c>
      <c r="D260" s="17" t="str">
        <f>IFERROR(IF(Members!A257="","",Members!D257),"")</f>
        <v/>
      </c>
      <c r="E260" s="17" t="str">
        <f>IF(A260="","",COUNTIF(Completions!A:A,A260))</f>
        <v/>
      </c>
      <c r="F260" s="17" t="str">
        <f>IF(A260="","",SUMPRODUCT((Completions!A$2:A$5000=A260)*IFERROR(VLOOKUP(Completions!B$2:B$5000,$J$4:$K$18,2,FALSE()),0)))</f>
        <v/>
      </c>
      <c r="G260" s="17" t="str">
        <f t="shared" si="3"/>
        <v/>
      </c>
      <c r="H260" s="17" t="str">
        <f>IF(A260="","",IFERROR(TEXT(_xludf.maxifs(Completions!G:G,Completions!A:A,A260),"yyyy-mm-dd hh:mm"),"—"))</f>
        <v/>
      </c>
    </row>
    <row r="261" spans="1:8" ht="21.75" customHeight="1" x14ac:dyDescent="0.2">
      <c r="A261" s="16" t="str">
        <f>IFERROR(IF(Members!A258="","",Members!A258),"")</f>
        <v/>
      </c>
      <c r="B261" s="16" t="str">
        <f>IFERROR(IF(Members!A258="","",Members!B258),"")</f>
        <v/>
      </c>
      <c r="C261" s="16" t="str">
        <f>IFERROR(IF(Members!A258="","",Members!C258),"")</f>
        <v/>
      </c>
      <c r="D261" s="16" t="str">
        <f>IFERROR(IF(Members!A258="","",Members!D258),"")</f>
        <v/>
      </c>
      <c r="E261" s="16" t="str">
        <f>IF(A261="","",COUNTIF(Completions!A:A,A261))</f>
        <v/>
      </c>
      <c r="F261" s="16" t="str">
        <f>IF(A261="","",SUMPRODUCT((Completions!A$2:A$5000=A261)*IFERROR(VLOOKUP(Completions!B$2:B$5000,$J$4:$K$18,2,FALSE()),0)))</f>
        <v/>
      </c>
      <c r="G261" s="16" t="str">
        <f t="shared" ref="G261:G324" si="4">IF(A261="","",IF(F261&gt;=20,"Gold",IF(F261&gt;=14,"Silver",IF(F261&gt;=8,"Bronze","—"))))</f>
        <v/>
      </c>
      <c r="H261" s="16" t="str">
        <f>IF(A261="","",IFERROR(TEXT(_xludf.maxifs(Completions!G:G,Completions!A:A,A261),"yyyy-mm-dd hh:mm"),"—"))</f>
        <v/>
      </c>
    </row>
    <row r="262" spans="1:8" ht="21.75" customHeight="1" x14ac:dyDescent="0.2">
      <c r="A262" s="17" t="str">
        <f>IFERROR(IF(Members!A259="","",Members!A259),"")</f>
        <v/>
      </c>
      <c r="B262" s="17" t="str">
        <f>IFERROR(IF(Members!A259="","",Members!B259),"")</f>
        <v/>
      </c>
      <c r="C262" s="17" t="str">
        <f>IFERROR(IF(Members!A259="","",Members!C259),"")</f>
        <v/>
      </c>
      <c r="D262" s="17" t="str">
        <f>IFERROR(IF(Members!A259="","",Members!D259),"")</f>
        <v/>
      </c>
      <c r="E262" s="17" t="str">
        <f>IF(A262="","",COUNTIF(Completions!A:A,A262))</f>
        <v/>
      </c>
      <c r="F262" s="17" t="str">
        <f>IF(A262="","",SUMPRODUCT((Completions!A$2:A$5000=A262)*IFERROR(VLOOKUP(Completions!B$2:B$5000,$J$4:$K$18,2,FALSE()),0)))</f>
        <v/>
      </c>
      <c r="G262" s="17" t="str">
        <f t="shared" si="4"/>
        <v/>
      </c>
      <c r="H262" s="17" t="str">
        <f>IF(A262="","",IFERROR(TEXT(_xludf.maxifs(Completions!G:G,Completions!A:A,A262),"yyyy-mm-dd hh:mm"),"—"))</f>
        <v/>
      </c>
    </row>
    <row r="263" spans="1:8" ht="21.75" customHeight="1" x14ac:dyDescent="0.2">
      <c r="A263" s="16" t="str">
        <f>IFERROR(IF(Members!A260="","",Members!A260),"")</f>
        <v/>
      </c>
      <c r="B263" s="16" t="str">
        <f>IFERROR(IF(Members!A260="","",Members!B260),"")</f>
        <v/>
      </c>
      <c r="C263" s="16" t="str">
        <f>IFERROR(IF(Members!A260="","",Members!C260),"")</f>
        <v/>
      </c>
      <c r="D263" s="16" t="str">
        <f>IFERROR(IF(Members!A260="","",Members!D260),"")</f>
        <v/>
      </c>
      <c r="E263" s="16" t="str">
        <f>IF(A263="","",COUNTIF(Completions!A:A,A263))</f>
        <v/>
      </c>
      <c r="F263" s="16" t="str">
        <f>IF(A263="","",SUMPRODUCT((Completions!A$2:A$5000=A263)*IFERROR(VLOOKUP(Completions!B$2:B$5000,$J$4:$K$18,2,FALSE()),0)))</f>
        <v/>
      </c>
      <c r="G263" s="16" t="str">
        <f t="shared" si="4"/>
        <v/>
      </c>
      <c r="H263" s="16" t="str">
        <f>IF(A263="","",IFERROR(TEXT(_xludf.maxifs(Completions!G:G,Completions!A:A,A263),"yyyy-mm-dd hh:mm"),"—"))</f>
        <v/>
      </c>
    </row>
    <row r="264" spans="1:8" ht="21.75" customHeight="1" x14ac:dyDescent="0.2">
      <c r="A264" s="17" t="str">
        <f>IFERROR(IF(Members!A261="","",Members!A261),"")</f>
        <v/>
      </c>
      <c r="B264" s="17" t="str">
        <f>IFERROR(IF(Members!A261="","",Members!B261),"")</f>
        <v/>
      </c>
      <c r="C264" s="17" t="str">
        <f>IFERROR(IF(Members!A261="","",Members!C261),"")</f>
        <v/>
      </c>
      <c r="D264" s="17" t="str">
        <f>IFERROR(IF(Members!A261="","",Members!D261),"")</f>
        <v/>
      </c>
      <c r="E264" s="17" t="str">
        <f>IF(A264="","",COUNTIF(Completions!A:A,A264))</f>
        <v/>
      </c>
      <c r="F264" s="17" t="str">
        <f>IF(A264="","",SUMPRODUCT((Completions!A$2:A$5000=A264)*IFERROR(VLOOKUP(Completions!B$2:B$5000,$J$4:$K$18,2,FALSE()),0)))</f>
        <v/>
      </c>
      <c r="G264" s="17" t="str">
        <f t="shared" si="4"/>
        <v/>
      </c>
      <c r="H264" s="17" t="str">
        <f>IF(A264="","",IFERROR(TEXT(_xludf.maxifs(Completions!G:G,Completions!A:A,A264),"yyyy-mm-dd hh:mm"),"—"))</f>
        <v/>
      </c>
    </row>
    <row r="265" spans="1:8" ht="21.75" customHeight="1" x14ac:dyDescent="0.2">
      <c r="A265" s="16" t="str">
        <f>IFERROR(IF(Members!A262="","",Members!A262),"")</f>
        <v/>
      </c>
      <c r="B265" s="16" t="str">
        <f>IFERROR(IF(Members!A262="","",Members!B262),"")</f>
        <v/>
      </c>
      <c r="C265" s="16" t="str">
        <f>IFERROR(IF(Members!A262="","",Members!C262),"")</f>
        <v/>
      </c>
      <c r="D265" s="16" t="str">
        <f>IFERROR(IF(Members!A262="","",Members!D262),"")</f>
        <v/>
      </c>
      <c r="E265" s="16" t="str">
        <f>IF(A265="","",COUNTIF(Completions!A:A,A265))</f>
        <v/>
      </c>
      <c r="F265" s="16" t="str">
        <f>IF(A265="","",SUMPRODUCT((Completions!A$2:A$5000=A265)*IFERROR(VLOOKUP(Completions!B$2:B$5000,$J$4:$K$18,2,FALSE()),0)))</f>
        <v/>
      </c>
      <c r="G265" s="16" t="str">
        <f t="shared" si="4"/>
        <v/>
      </c>
      <c r="H265" s="16" t="str">
        <f>IF(A265="","",IFERROR(TEXT(_xludf.maxifs(Completions!G:G,Completions!A:A,A265),"yyyy-mm-dd hh:mm"),"—"))</f>
        <v/>
      </c>
    </row>
    <row r="266" spans="1:8" ht="21.75" customHeight="1" x14ac:dyDescent="0.2">
      <c r="A266" s="17" t="str">
        <f>IFERROR(IF(Members!A263="","",Members!A263),"")</f>
        <v/>
      </c>
      <c r="B266" s="17" t="str">
        <f>IFERROR(IF(Members!A263="","",Members!B263),"")</f>
        <v/>
      </c>
      <c r="C266" s="17" t="str">
        <f>IFERROR(IF(Members!A263="","",Members!C263),"")</f>
        <v/>
      </c>
      <c r="D266" s="17" t="str">
        <f>IFERROR(IF(Members!A263="","",Members!D263),"")</f>
        <v/>
      </c>
      <c r="E266" s="17" t="str">
        <f>IF(A266="","",COUNTIF(Completions!A:A,A266))</f>
        <v/>
      </c>
      <c r="F266" s="17" t="str">
        <f>IF(A266="","",SUMPRODUCT((Completions!A$2:A$5000=A266)*IFERROR(VLOOKUP(Completions!B$2:B$5000,$J$4:$K$18,2,FALSE()),0)))</f>
        <v/>
      </c>
      <c r="G266" s="17" t="str">
        <f t="shared" si="4"/>
        <v/>
      </c>
      <c r="H266" s="17" t="str">
        <f>IF(A266="","",IFERROR(TEXT(_xludf.maxifs(Completions!G:G,Completions!A:A,A266),"yyyy-mm-dd hh:mm"),"—"))</f>
        <v/>
      </c>
    </row>
    <row r="267" spans="1:8" ht="21.75" customHeight="1" x14ac:dyDescent="0.2">
      <c r="A267" s="16" t="str">
        <f>IFERROR(IF(Members!A264="","",Members!A264),"")</f>
        <v/>
      </c>
      <c r="B267" s="16" t="str">
        <f>IFERROR(IF(Members!A264="","",Members!B264),"")</f>
        <v/>
      </c>
      <c r="C267" s="16" t="str">
        <f>IFERROR(IF(Members!A264="","",Members!C264),"")</f>
        <v/>
      </c>
      <c r="D267" s="16" t="str">
        <f>IFERROR(IF(Members!A264="","",Members!D264),"")</f>
        <v/>
      </c>
      <c r="E267" s="16" t="str">
        <f>IF(A267="","",COUNTIF(Completions!A:A,A267))</f>
        <v/>
      </c>
      <c r="F267" s="16" t="str">
        <f>IF(A267="","",SUMPRODUCT((Completions!A$2:A$5000=A267)*IFERROR(VLOOKUP(Completions!B$2:B$5000,$J$4:$K$18,2,FALSE()),0)))</f>
        <v/>
      </c>
      <c r="G267" s="16" t="str">
        <f t="shared" si="4"/>
        <v/>
      </c>
      <c r="H267" s="16" t="str">
        <f>IF(A267="","",IFERROR(TEXT(_xludf.maxifs(Completions!G:G,Completions!A:A,A267),"yyyy-mm-dd hh:mm"),"—"))</f>
        <v/>
      </c>
    </row>
    <row r="268" spans="1:8" ht="21.75" customHeight="1" x14ac:dyDescent="0.2">
      <c r="A268" s="17" t="str">
        <f>IFERROR(IF(Members!A265="","",Members!A265),"")</f>
        <v/>
      </c>
      <c r="B268" s="17" t="str">
        <f>IFERROR(IF(Members!A265="","",Members!B265),"")</f>
        <v/>
      </c>
      <c r="C268" s="17" t="str">
        <f>IFERROR(IF(Members!A265="","",Members!C265),"")</f>
        <v/>
      </c>
      <c r="D268" s="17" t="str">
        <f>IFERROR(IF(Members!A265="","",Members!D265),"")</f>
        <v/>
      </c>
      <c r="E268" s="17" t="str">
        <f>IF(A268="","",COUNTIF(Completions!A:A,A268))</f>
        <v/>
      </c>
      <c r="F268" s="17" t="str">
        <f>IF(A268="","",SUMPRODUCT((Completions!A$2:A$5000=A268)*IFERROR(VLOOKUP(Completions!B$2:B$5000,$J$4:$K$18,2,FALSE()),0)))</f>
        <v/>
      </c>
      <c r="G268" s="17" t="str">
        <f t="shared" si="4"/>
        <v/>
      </c>
      <c r="H268" s="17" t="str">
        <f>IF(A268="","",IFERROR(TEXT(_xludf.maxifs(Completions!G:G,Completions!A:A,A268),"yyyy-mm-dd hh:mm"),"—"))</f>
        <v/>
      </c>
    </row>
    <row r="269" spans="1:8" ht="21.75" customHeight="1" x14ac:dyDescent="0.2">
      <c r="A269" s="16" t="str">
        <f>IFERROR(IF(Members!A266="","",Members!A266),"")</f>
        <v/>
      </c>
      <c r="B269" s="16" t="str">
        <f>IFERROR(IF(Members!A266="","",Members!B266),"")</f>
        <v/>
      </c>
      <c r="C269" s="16" t="str">
        <f>IFERROR(IF(Members!A266="","",Members!C266),"")</f>
        <v/>
      </c>
      <c r="D269" s="16" t="str">
        <f>IFERROR(IF(Members!A266="","",Members!D266),"")</f>
        <v/>
      </c>
      <c r="E269" s="16" t="str">
        <f>IF(A269="","",COUNTIF(Completions!A:A,A269))</f>
        <v/>
      </c>
      <c r="F269" s="16" t="str">
        <f>IF(A269="","",SUMPRODUCT((Completions!A$2:A$5000=A269)*IFERROR(VLOOKUP(Completions!B$2:B$5000,$J$4:$K$18,2,FALSE()),0)))</f>
        <v/>
      </c>
      <c r="G269" s="16" t="str">
        <f t="shared" si="4"/>
        <v/>
      </c>
      <c r="H269" s="16" t="str">
        <f>IF(A269="","",IFERROR(TEXT(_xludf.maxifs(Completions!G:G,Completions!A:A,A269),"yyyy-mm-dd hh:mm"),"—"))</f>
        <v/>
      </c>
    </row>
    <row r="270" spans="1:8" ht="21.75" customHeight="1" x14ac:dyDescent="0.2">
      <c r="A270" s="17" t="str">
        <f>IFERROR(IF(Members!A267="","",Members!A267),"")</f>
        <v/>
      </c>
      <c r="B270" s="17" t="str">
        <f>IFERROR(IF(Members!A267="","",Members!B267),"")</f>
        <v/>
      </c>
      <c r="C270" s="17" t="str">
        <f>IFERROR(IF(Members!A267="","",Members!C267),"")</f>
        <v/>
      </c>
      <c r="D270" s="17" t="str">
        <f>IFERROR(IF(Members!A267="","",Members!D267),"")</f>
        <v/>
      </c>
      <c r="E270" s="17" t="str">
        <f>IF(A270="","",COUNTIF(Completions!A:A,A270))</f>
        <v/>
      </c>
      <c r="F270" s="17" t="str">
        <f>IF(A270="","",SUMPRODUCT((Completions!A$2:A$5000=A270)*IFERROR(VLOOKUP(Completions!B$2:B$5000,$J$4:$K$18,2,FALSE()),0)))</f>
        <v/>
      </c>
      <c r="G270" s="17" t="str">
        <f t="shared" si="4"/>
        <v/>
      </c>
      <c r="H270" s="17" t="str">
        <f>IF(A270="","",IFERROR(TEXT(_xludf.maxifs(Completions!G:G,Completions!A:A,A270),"yyyy-mm-dd hh:mm"),"—"))</f>
        <v/>
      </c>
    </row>
    <row r="271" spans="1:8" ht="21.75" customHeight="1" x14ac:dyDescent="0.2">
      <c r="A271" s="16" t="str">
        <f>IFERROR(IF(Members!A268="","",Members!A268),"")</f>
        <v/>
      </c>
      <c r="B271" s="16" t="str">
        <f>IFERROR(IF(Members!A268="","",Members!B268),"")</f>
        <v/>
      </c>
      <c r="C271" s="16" t="str">
        <f>IFERROR(IF(Members!A268="","",Members!C268),"")</f>
        <v/>
      </c>
      <c r="D271" s="16" t="str">
        <f>IFERROR(IF(Members!A268="","",Members!D268),"")</f>
        <v/>
      </c>
      <c r="E271" s="16" t="str">
        <f>IF(A271="","",COUNTIF(Completions!A:A,A271))</f>
        <v/>
      </c>
      <c r="F271" s="16" t="str">
        <f>IF(A271="","",SUMPRODUCT((Completions!A$2:A$5000=A271)*IFERROR(VLOOKUP(Completions!B$2:B$5000,$J$4:$K$18,2,FALSE()),0)))</f>
        <v/>
      </c>
      <c r="G271" s="16" t="str">
        <f t="shared" si="4"/>
        <v/>
      </c>
      <c r="H271" s="16" t="str">
        <f>IF(A271="","",IFERROR(TEXT(_xludf.maxifs(Completions!G:G,Completions!A:A,A271),"yyyy-mm-dd hh:mm"),"—"))</f>
        <v/>
      </c>
    </row>
    <row r="272" spans="1:8" ht="21.75" customHeight="1" x14ac:dyDescent="0.2">
      <c r="A272" s="17" t="str">
        <f>IFERROR(IF(Members!A269="","",Members!A269),"")</f>
        <v/>
      </c>
      <c r="B272" s="17" t="str">
        <f>IFERROR(IF(Members!A269="","",Members!B269),"")</f>
        <v/>
      </c>
      <c r="C272" s="17" t="str">
        <f>IFERROR(IF(Members!A269="","",Members!C269),"")</f>
        <v/>
      </c>
      <c r="D272" s="17" t="str">
        <f>IFERROR(IF(Members!A269="","",Members!D269),"")</f>
        <v/>
      </c>
      <c r="E272" s="17" t="str">
        <f>IF(A272="","",COUNTIF(Completions!A:A,A272))</f>
        <v/>
      </c>
      <c r="F272" s="17" t="str">
        <f>IF(A272="","",SUMPRODUCT((Completions!A$2:A$5000=A272)*IFERROR(VLOOKUP(Completions!B$2:B$5000,$J$4:$K$18,2,FALSE()),0)))</f>
        <v/>
      </c>
      <c r="G272" s="17" t="str">
        <f t="shared" si="4"/>
        <v/>
      </c>
      <c r="H272" s="17" t="str">
        <f>IF(A272="","",IFERROR(TEXT(_xludf.maxifs(Completions!G:G,Completions!A:A,A272),"yyyy-mm-dd hh:mm"),"—"))</f>
        <v/>
      </c>
    </row>
    <row r="273" spans="1:8" ht="21.75" customHeight="1" x14ac:dyDescent="0.2">
      <c r="A273" s="16" t="str">
        <f>IFERROR(IF(Members!A270="","",Members!A270),"")</f>
        <v/>
      </c>
      <c r="B273" s="16" t="str">
        <f>IFERROR(IF(Members!A270="","",Members!B270),"")</f>
        <v/>
      </c>
      <c r="C273" s="16" t="str">
        <f>IFERROR(IF(Members!A270="","",Members!C270),"")</f>
        <v/>
      </c>
      <c r="D273" s="16" t="str">
        <f>IFERROR(IF(Members!A270="","",Members!D270),"")</f>
        <v/>
      </c>
      <c r="E273" s="16" t="str">
        <f>IF(A273="","",COUNTIF(Completions!A:A,A273))</f>
        <v/>
      </c>
      <c r="F273" s="16" t="str">
        <f>IF(A273="","",SUMPRODUCT((Completions!A$2:A$5000=A273)*IFERROR(VLOOKUP(Completions!B$2:B$5000,$J$4:$K$18,2,FALSE()),0)))</f>
        <v/>
      </c>
      <c r="G273" s="16" t="str">
        <f t="shared" si="4"/>
        <v/>
      </c>
      <c r="H273" s="16" t="str">
        <f>IF(A273="","",IFERROR(TEXT(_xludf.maxifs(Completions!G:G,Completions!A:A,A273),"yyyy-mm-dd hh:mm"),"—"))</f>
        <v/>
      </c>
    </row>
    <row r="274" spans="1:8" ht="21.75" customHeight="1" x14ac:dyDescent="0.2">
      <c r="A274" s="17" t="str">
        <f>IFERROR(IF(Members!A271="","",Members!A271),"")</f>
        <v/>
      </c>
      <c r="B274" s="17" t="str">
        <f>IFERROR(IF(Members!A271="","",Members!B271),"")</f>
        <v/>
      </c>
      <c r="C274" s="17" t="str">
        <f>IFERROR(IF(Members!A271="","",Members!C271),"")</f>
        <v/>
      </c>
      <c r="D274" s="17" t="str">
        <f>IFERROR(IF(Members!A271="","",Members!D271),"")</f>
        <v/>
      </c>
      <c r="E274" s="17" t="str">
        <f>IF(A274="","",COUNTIF(Completions!A:A,A274))</f>
        <v/>
      </c>
      <c r="F274" s="17" t="str">
        <f>IF(A274="","",SUMPRODUCT((Completions!A$2:A$5000=A274)*IFERROR(VLOOKUP(Completions!B$2:B$5000,$J$4:$K$18,2,FALSE()),0)))</f>
        <v/>
      </c>
      <c r="G274" s="17" t="str">
        <f t="shared" si="4"/>
        <v/>
      </c>
      <c r="H274" s="17" t="str">
        <f>IF(A274="","",IFERROR(TEXT(_xludf.maxifs(Completions!G:G,Completions!A:A,A274),"yyyy-mm-dd hh:mm"),"—"))</f>
        <v/>
      </c>
    </row>
    <row r="275" spans="1:8" ht="21.75" customHeight="1" x14ac:dyDescent="0.2">
      <c r="A275" s="16" t="str">
        <f>IFERROR(IF(Members!A272="","",Members!A272),"")</f>
        <v/>
      </c>
      <c r="B275" s="16" t="str">
        <f>IFERROR(IF(Members!A272="","",Members!B272),"")</f>
        <v/>
      </c>
      <c r="C275" s="16" t="str">
        <f>IFERROR(IF(Members!A272="","",Members!C272),"")</f>
        <v/>
      </c>
      <c r="D275" s="16" t="str">
        <f>IFERROR(IF(Members!A272="","",Members!D272),"")</f>
        <v/>
      </c>
      <c r="E275" s="16" t="str">
        <f>IF(A275="","",COUNTIF(Completions!A:A,A275))</f>
        <v/>
      </c>
      <c r="F275" s="16" t="str">
        <f>IF(A275="","",SUMPRODUCT((Completions!A$2:A$5000=A275)*IFERROR(VLOOKUP(Completions!B$2:B$5000,$J$4:$K$18,2,FALSE()),0)))</f>
        <v/>
      </c>
      <c r="G275" s="16" t="str">
        <f t="shared" si="4"/>
        <v/>
      </c>
      <c r="H275" s="16" t="str">
        <f>IF(A275="","",IFERROR(TEXT(_xludf.maxifs(Completions!G:G,Completions!A:A,A275),"yyyy-mm-dd hh:mm"),"—"))</f>
        <v/>
      </c>
    </row>
    <row r="276" spans="1:8" ht="21.75" customHeight="1" x14ac:dyDescent="0.2">
      <c r="A276" s="17" t="str">
        <f>IFERROR(IF(Members!A273="","",Members!A273),"")</f>
        <v/>
      </c>
      <c r="B276" s="17" t="str">
        <f>IFERROR(IF(Members!A273="","",Members!B273),"")</f>
        <v/>
      </c>
      <c r="C276" s="17" t="str">
        <f>IFERROR(IF(Members!A273="","",Members!C273),"")</f>
        <v/>
      </c>
      <c r="D276" s="17" t="str">
        <f>IFERROR(IF(Members!A273="","",Members!D273),"")</f>
        <v/>
      </c>
      <c r="E276" s="17" t="str">
        <f>IF(A276="","",COUNTIF(Completions!A:A,A276))</f>
        <v/>
      </c>
      <c r="F276" s="17" t="str">
        <f>IF(A276="","",SUMPRODUCT((Completions!A$2:A$5000=A276)*IFERROR(VLOOKUP(Completions!B$2:B$5000,$J$4:$K$18,2,FALSE()),0)))</f>
        <v/>
      </c>
      <c r="G276" s="17" t="str">
        <f t="shared" si="4"/>
        <v/>
      </c>
      <c r="H276" s="17" t="str">
        <f>IF(A276="","",IFERROR(TEXT(_xludf.maxifs(Completions!G:G,Completions!A:A,A276),"yyyy-mm-dd hh:mm"),"—"))</f>
        <v/>
      </c>
    </row>
    <row r="277" spans="1:8" ht="21.75" customHeight="1" x14ac:dyDescent="0.2">
      <c r="A277" s="16" t="str">
        <f>IFERROR(IF(Members!A274="","",Members!A274),"")</f>
        <v/>
      </c>
      <c r="B277" s="16" t="str">
        <f>IFERROR(IF(Members!A274="","",Members!B274),"")</f>
        <v/>
      </c>
      <c r="C277" s="16" t="str">
        <f>IFERROR(IF(Members!A274="","",Members!C274),"")</f>
        <v/>
      </c>
      <c r="D277" s="16" t="str">
        <f>IFERROR(IF(Members!A274="","",Members!D274),"")</f>
        <v/>
      </c>
      <c r="E277" s="16" t="str">
        <f>IF(A277="","",COUNTIF(Completions!A:A,A277))</f>
        <v/>
      </c>
      <c r="F277" s="16" t="str">
        <f>IF(A277="","",SUMPRODUCT((Completions!A$2:A$5000=A277)*IFERROR(VLOOKUP(Completions!B$2:B$5000,$J$4:$K$18,2,FALSE()),0)))</f>
        <v/>
      </c>
      <c r="G277" s="16" t="str">
        <f t="shared" si="4"/>
        <v/>
      </c>
      <c r="H277" s="16" t="str">
        <f>IF(A277="","",IFERROR(TEXT(_xludf.maxifs(Completions!G:G,Completions!A:A,A277),"yyyy-mm-dd hh:mm"),"—"))</f>
        <v/>
      </c>
    </row>
    <row r="278" spans="1:8" ht="21.75" customHeight="1" x14ac:dyDescent="0.2">
      <c r="A278" s="17" t="str">
        <f>IFERROR(IF(Members!A275="","",Members!A275),"")</f>
        <v/>
      </c>
      <c r="B278" s="17" t="str">
        <f>IFERROR(IF(Members!A275="","",Members!B275),"")</f>
        <v/>
      </c>
      <c r="C278" s="17" t="str">
        <f>IFERROR(IF(Members!A275="","",Members!C275),"")</f>
        <v/>
      </c>
      <c r="D278" s="17" t="str">
        <f>IFERROR(IF(Members!A275="","",Members!D275),"")</f>
        <v/>
      </c>
      <c r="E278" s="17" t="str">
        <f>IF(A278="","",COUNTIF(Completions!A:A,A278))</f>
        <v/>
      </c>
      <c r="F278" s="17" t="str">
        <f>IF(A278="","",SUMPRODUCT((Completions!A$2:A$5000=A278)*IFERROR(VLOOKUP(Completions!B$2:B$5000,$J$4:$K$18,2,FALSE()),0)))</f>
        <v/>
      </c>
      <c r="G278" s="17" t="str">
        <f t="shared" si="4"/>
        <v/>
      </c>
      <c r="H278" s="17" t="str">
        <f>IF(A278="","",IFERROR(TEXT(_xludf.maxifs(Completions!G:G,Completions!A:A,A278),"yyyy-mm-dd hh:mm"),"—"))</f>
        <v/>
      </c>
    </row>
    <row r="279" spans="1:8" ht="21.75" customHeight="1" x14ac:dyDescent="0.2">
      <c r="A279" s="16" t="str">
        <f>IFERROR(IF(Members!A276="","",Members!A276),"")</f>
        <v/>
      </c>
      <c r="B279" s="16" t="str">
        <f>IFERROR(IF(Members!A276="","",Members!B276),"")</f>
        <v/>
      </c>
      <c r="C279" s="16" t="str">
        <f>IFERROR(IF(Members!A276="","",Members!C276),"")</f>
        <v/>
      </c>
      <c r="D279" s="16" t="str">
        <f>IFERROR(IF(Members!A276="","",Members!D276),"")</f>
        <v/>
      </c>
      <c r="E279" s="16" t="str">
        <f>IF(A279="","",COUNTIF(Completions!A:A,A279))</f>
        <v/>
      </c>
      <c r="F279" s="16" t="str">
        <f>IF(A279="","",SUMPRODUCT((Completions!A$2:A$5000=A279)*IFERROR(VLOOKUP(Completions!B$2:B$5000,$J$4:$K$18,2,FALSE()),0)))</f>
        <v/>
      </c>
      <c r="G279" s="16" t="str">
        <f t="shared" si="4"/>
        <v/>
      </c>
      <c r="H279" s="16" t="str">
        <f>IF(A279="","",IFERROR(TEXT(_xludf.maxifs(Completions!G:G,Completions!A:A,A279),"yyyy-mm-dd hh:mm"),"—"))</f>
        <v/>
      </c>
    </row>
    <row r="280" spans="1:8" ht="21.75" customHeight="1" x14ac:dyDescent="0.2">
      <c r="A280" s="17" t="str">
        <f>IFERROR(IF(Members!A277="","",Members!A277),"")</f>
        <v/>
      </c>
      <c r="B280" s="17" t="str">
        <f>IFERROR(IF(Members!A277="","",Members!B277),"")</f>
        <v/>
      </c>
      <c r="C280" s="17" t="str">
        <f>IFERROR(IF(Members!A277="","",Members!C277),"")</f>
        <v/>
      </c>
      <c r="D280" s="17" t="str">
        <f>IFERROR(IF(Members!A277="","",Members!D277),"")</f>
        <v/>
      </c>
      <c r="E280" s="17" t="str">
        <f>IF(A280="","",COUNTIF(Completions!A:A,A280))</f>
        <v/>
      </c>
      <c r="F280" s="17" t="str">
        <f>IF(A280="","",SUMPRODUCT((Completions!A$2:A$5000=A280)*IFERROR(VLOOKUP(Completions!B$2:B$5000,$J$4:$K$18,2,FALSE()),0)))</f>
        <v/>
      </c>
      <c r="G280" s="17" t="str">
        <f t="shared" si="4"/>
        <v/>
      </c>
      <c r="H280" s="17" t="str">
        <f>IF(A280="","",IFERROR(TEXT(_xludf.maxifs(Completions!G:G,Completions!A:A,A280),"yyyy-mm-dd hh:mm"),"—"))</f>
        <v/>
      </c>
    </row>
    <row r="281" spans="1:8" ht="21.75" customHeight="1" x14ac:dyDescent="0.2">
      <c r="A281" s="16" t="str">
        <f>IFERROR(IF(Members!A278="","",Members!A278),"")</f>
        <v/>
      </c>
      <c r="B281" s="16" t="str">
        <f>IFERROR(IF(Members!A278="","",Members!B278),"")</f>
        <v/>
      </c>
      <c r="C281" s="16" t="str">
        <f>IFERROR(IF(Members!A278="","",Members!C278),"")</f>
        <v/>
      </c>
      <c r="D281" s="16" t="str">
        <f>IFERROR(IF(Members!A278="","",Members!D278),"")</f>
        <v/>
      </c>
      <c r="E281" s="16" t="str">
        <f>IF(A281="","",COUNTIF(Completions!A:A,A281))</f>
        <v/>
      </c>
      <c r="F281" s="16" t="str">
        <f>IF(A281="","",SUMPRODUCT((Completions!A$2:A$5000=A281)*IFERROR(VLOOKUP(Completions!B$2:B$5000,$J$4:$K$18,2,FALSE()),0)))</f>
        <v/>
      </c>
      <c r="G281" s="16" t="str">
        <f t="shared" si="4"/>
        <v/>
      </c>
      <c r="H281" s="16" t="str">
        <f>IF(A281="","",IFERROR(TEXT(_xludf.maxifs(Completions!G:G,Completions!A:A,A281),"yyyy-mm-dd hh:mm"),"—"))</f>
        <v/>
      </c>
    </row>
    <row r="282" spans="1:8" ht="21.75" customHeight="1" x14ac:dyDescent="0.2">
      <c r="A282" s="17" t="str">
        <f>IFERROR(IF(Members!A279="","",Members!A279),"")</f>
        <v/>
      </c>
      <c r="B282" s="17" t="str">
        <f>IFERROR(IF(Members!A279="","",Members!B279),"")</f>
        <v/>
      </c>
      <c r="C282" s="17" t="str">
        <f>IFERROR(IF(Members!A279="","",Members!C279),"")</f>
        <v/>
      </c>
      <c r="D282" s="17" t="str">
        <f>IFERROR(IF(Members!A279="","",Members!D279),"")</f>
        <v/>
      </c>
      <c r="E282" s="17" t="str">
        <f>IF(A282="","",COUNTIF(Completions!A:A,A282))</f>
        <v/>
      </c>
      <c r="F282" s="17" t="str">
        <f>IF(A282="","",SUMPRODUCT((Completions!A$2:A$5000=A282)*IFERROR(VLOOKUP(Completions!B$2:B$5000,$J$4:$K$18,2,FALSE()),0)))</f>
        <v/>
      </c>
      <c r="G282" s="17" t="str">
        <f t="shared" si="4"/>
        <v/>
      </c>
      <c r="H282" s="17" t="str">
        <f>IF(A282="","",IFERROR(TEXT(_xludf.maxifs(Completions!G:G,Completions!A:A,A282),"yyyy-mm-dd hh:mm"),"—"))</f>
        <v/>
      </c>
    </row>
    <row r="283" spans="1:8" ht="21.75" customHeight="1" x14ac:dyDescent="0.2">
      <c r="A283" s="16" t="str">
        <f>IFERROR(IF(Members!A280="","",Members!A280),"")</f>
        <v/>
      </c>
      <c r="B283" s="16" t="str">
        <f>IFERROR(IF(Members!A280="","",Members!B280),"")</f>
        <v/>
      </c>
      <c r="C283" s="16" t="str">
        <f>IFERROR(IF(Members!A280="","",Members!C280),"")</f>
        <v/>
      </c>
      <c r="D283" s="16" t="str">
        <f>IFERROR(IF(Members!A280="","",Members!D280),"")</f>
        <v/>
      </c>
      <c r="E283" s="16" t="str">
        <f>IF(A283="","",COUNTIF(Completions!A:A,A283))</f>
        <v/>
      </c>
      <c r="F283" s="16" t="str">
        <f>IF(A283="","",SUMPRODUCT((Completions!A$2:A$5000=A283)*IFERROR(VLOOKUP(Completions!B$2:B$5000,$J$4:$K$18,2,FALSE()),0)))</f>
        <v/>
      </c>
      <c r="G283" s="16" t="str">
        <f t="shared" si="4"/>
        <v/>
      </c>
      <c r="H283" s="16" t="str">
        <f>IF(A283="","",IFERROR(TEXT(_xludf.maxifs(Completions!G:G,Completions!A:A,A283),"yyyy-mm-dd hh:mm"),"—"))</f>
        <v/>
      </c>
    </row>
    <row r="284" spans="1:8" ht="21.75" customHeight="1" x14ac:dyDescent="0.2">
      <c r="A284" s="17" t="str">
        <f>IFERROR(IF(Members!A281="","",Members!A281),"")</f>
        <v/>
      </c>
      <c r="B284" s="17" t="str">
        <f>IFERROR(IF(Members!A281="","",Members!B281),"")</f>
        <v/>
      </c>
      <c r="C284" s="17" t="str">
        <f>IFERROR(IF(Members!A281="","",Members!C281),"")</f>
        <v/>
      </c>
      <c r="D284" s="17" t="str">
        <f>IFERROR(IF(Members!A281="","",Members!D281),"")</f>
        <v/>
      </c>
      <c r="E284" s="17" t="str">
        <f>IF(A284="","",COUNTIF(Completions!A:A,A284))</f>
        <v/>
      </c>
      <c r="F284" s="17" t="str">
        <f>IF(A284="","",SUMPRODUCT((Completions!A$2:A$5000=A284)*IFERROR(VLOOKUP(Completions!B$2:B$5000,$J$4:$K$18,2,FALSE()),0)))</f>
        <v/>
      </c>
      <c r="G284" s="17" t="str">
        <f t="shared" si="4"/>
        <v/>
      </c>
      <c r="H284" s="17" t="str">
        <f>IF(A284="","",IFERROR(TEXT(_xludf.maxifs(Completions!G:G,Completions!A:A,A284),"yyyy-mm-dd hh:mm"),"—"))</f>
        <v/>
      </c>
    </row>
    <row r="285" spans="1:8" ht="21.75" customHeight="1" x14ac:dyDescent="0.2">
      <c r="A285" s="16" t="str">
        <f>IFERROR(IF(Members!A282="","",Members!A282),"")</f>
        <v/>
      </c>
      <c r="B285" s="16" t="str">
        <f>IFERROR(IF(Members!A282="","",Members!B282),"")</f>
        <v/>
      </c>
      <c r="C285" s="16" t="str">
        <f>IFERROR(IF(Members!A282="","",Members!C282),"")</f>
        <v/>
      </c>
      <c r="D285" s="16" t="str">
        <f>IFERROR(IF(Members!A282="","",Members!D282),"")</f>
        <v/>
      </c>
      <c r="E285" s="16" t="str">
        <f>IF(A285="","",COUNTIF(Completions!A:A,A285))</f>
        <v/>
      </c>
      <c r="F285" s="16" t="str">
        <f>IF(A285="","",SUMPRODUCT((Completions!A$2:A$5000=A285)*IFERROR(VLOOKUP(Completions!B$2:B$5000,$J$4:$K$18,2,FALSE()),0)))</f>
        <v/>
      </c>
      <c r="G285" s="16" t="str">
        <f t="shared" si="4"/>
        <v/>
      </c>
      <c r="H285" s="16" t="str">
        <f>IF(A285="","",IFERROR(TEXT(_xludf.maxifs(Completions!G:G,Completions!A:A,A285),"yyyy-mm-dd hh:mm"),"—"))</f>
        <v/>
      </c>
    </row>
    <row r="286" spans="1:8" ht="21.75" customHeight="1" x14ac:dyDescent="0.2">
      <c r="A286" s="17" t="str">
        <f>IFERROR(IF(Members!A283="","",Members!A283),"")</f>
        <v/>
      </c>
      <c r="B286" s="17" t="str">
        <f>IFERROR(IF(Members!A283="","",Members!B283),"")</f>
        <v/>
      </c>
      <c r="C286" s="17" t="str">
        <f>IFERROR(IF(Members!A283="","",Members!C283),"")</f>
        <v/>
      </c>
      <c r="D286" s="17" t="str">
        <f>IFERROR(IF(Members!A283="","",Members!D283),"")</f>
        <v/>
      </c>
      <c r="E286" s="17" t="str">
        <f>IF(A286="","",COUNTIF(Completions!A:A,A286))</f>
        <v/>
      </c>
      <c r="F286" s="17" t="str">
        <f>IF(A286="","",SUMPRODUCT((Completions!A$2:A$5000=A286)*IFERROR(VLOOKUP(Completions!B$2:B$5000,$J$4:$K$18,2,FALSE()),0)))</f>
        <v/>
      </c>
      <c r="G286" s="17" t="str">
        <f t="shared" si="4"/>
        <v/>
      </c>
      <c r="H286" s="17" t="str">
        <f>IF(A286="","",IFERROR(TEXT(_xludf.maxifs(Completions!G:G,Completions!A:A,A286),"yyyy-mm-dd hh:mm"),"—"))</f>
        <v/>
      </c>
    </row>
    <row r="287" spans="1:8" ht="21.75" customHeight="1" x14ac:dyDescent="0.2">
      <c r="A287" s="16" t="str">
        <f>IFERROR(IF(Members!A284="","",Members!A284),"")</f>
        <v/>
      </c>
      <c r="B287" s="16" t="str">
        <f>IFERROR(IF(Members!A284="","",Members!B284),"")</f>
        <v/>
      </c>
      <c r="C287" s="16" t="str">
        <f>IFERROR(IF(Members!A284="","",Members!C284),"")</f>
        <v/>
      </c>
      <c r="D287" s="16" t="str">
        <f>IFERROR(IF(Members!A284="","",Members!D284),"")</f>
        <v/>
      </c>
      <c r="E287" s="16" t="str">
        <f>IF(A287="","",COUNTIF(Completions!A:A,A287))</f>
        <v/>
      </c>
      <c r="F287" s="16" t="str">
        <f>IF(A287="","",SUMPRODUCT((Completions!A$2:A$5000=A287)*IFERROR(VLOOKUP(Completions!B$2:B$5000,$J$4:$K$18,2,FALSE()),0)))</f>
        <v/>
      </c>
      <c r="G287" s="16" t="str">
        <f t="shared" si="4"/>
        <v/>
      </c>
      <c r="H287" s="16" t="str">
        <f>IF(A287="","",IFERROR(TEXT(_xludf.maxifs(Completions!G:G,Completions!A:A,A287),"yyyy-mm-dd hh:mm"),"—"))</f>
        <v/>
      </c>
    </row>
    <row r="288" spans="1:8" ht="21.75" customHeight="1" x14ac:dyDescent="0.2">
      <c r="A288" s="17" t="str">
        <f>IFERROR(IF(Members!A285="","",Members!A285),"")</f>
        <v/>
      </c>
      <c r="B288" s="17" t="str">
        <f>IFERROR(IF(Members!A285="","",Members!B285),"")</f>
        <v/>
      </c>
      <c r="C288" s="17" t="str">
        <f>IFERROR(IF(Members!A285="","",Members!C285),"")</f>
        <v/>
      </c>
      <c r="D288" s="17" t="str">
        <f>IFERROR(IF(Members!A285="","",Members!D285),"")</f>
        <v/>
      </c>
      <c r="E288" s="17" t="str">
        <f>IF(A288="","",COUNTIF(Completions!A:A,A288))</f>
        <v/>
      </c>
      <c r="F288" s="17" t="str">
        <f>IF(A288="","",SUMPRODUCT((Completions!A$2:A$5000=A288)*IFERROR(VLOOKUP(Completions!B$2:B$5000,$J$4:$K$18,2,FALSE()),0)))</f>
        <v/>
      </c>
      <c r="G288" s="17" t="str">
        <f t="shared" si="4"/>
        <v/>
      </c>
      <c r="H288" s="17" t="str">
        <f>IF(A288="","",IFERROR(TEXT(_xludf.maxifs(Completions!G:G,Completions!A:A,A288),"yyyy-mm-dd hh:mm"),"—"))</f>
        <v/>
      </c>
    </row>
    <row r="289" spans="1:8" ht="21.75" customHeight="1" x14ac:dyDescent="0.2">
      <c r="A289" s="16" t="str">
        <f>IFERROR(IF(Members!A286="","",Members!A286),"")</f>
        <v/>
      </c>
      <c r="B289" s="16" t="str">
        <f>IFERROR(IF(Members!A286="","",Members!B286),"")</f>
        <v/>
      </c>
      <c r="C289" s="16" t="str">
        <f>IFERROR(IF(Members!A286="","",Members!C286),"")</f>
        <v/>
      </c>
      <c r="D289" s="16" t="str">
        <f>IFERROR(IF(Members!A286="","",Members!D286),"")</f>
        <v/>
      </c>
      <c r="E289" s="16" t="str">
        <f>IF(A289="","",COUNTIF(Completions!A:A,A289))</f>
        <v/>
      </c>
      <c r="F289" s="16" t="str">
        <f>IF(A289="","",SUMPRODUCT((Completions!A$2:A$5000=A289)*IFERROR(VLOOKUP(Completions!B$2:B$5000,$J$4:$K$18,2,FALSE()),0)))</f>
        <v/>
      </c>
      <c r="G289" s="16" t="str">
        <f t="shared" si="4"/>
        <v/>
      </c>
      <c r="H289" s="16" t="str">
        <f>IF(A289="","",IFERROR(TEXT(_xludf.maxifs(Completions!G:G,Completions!A:A,A289),"yyyy-mm-dd hh:mm"),"—"))</f>
        <v/>
      </c>
    </row>
    <row r="290" spans="1:8" ht="21.75" customHeight="1" x14ac:dyDescent="0.2">
      <c r="A290" s="17" t="str">
        <f>IFERROR(IF(Members!A287="","",Members!A287),"")</f>
        <v/>
      </c>
      <c r="B290" s="17" t="str">
        <f>IFERROR(IF(Members!A287="","",Members!B287),"")</f>
        <v/>
      </c>
      <c r="C290" s="17" t="str">
        <f>IFERROR(IF(Members!A287="","",Members!C287),"")</f>
        <v/>
      </c>
      <c r="D290" s="17" t="str">
        <f>IFERROR(IF(Members!A287="","",Members!D287),"")</f>
        <v/>
      </c>
      <c r="E290" s="17" t="str">
        <f>IF(A290="","",COUNTIF(Completions!A:A,A290))</f>
        <v/>
      </c>
      <c r="F290" s="17" t="str">
        <f>IF(A290="","",SUMPRODUCT((Completions!A$2:A$5000=A290)*IFERROR(VLOOKUP(Completions!B$2:B$5000,$J$4:$K$18,2,FALSE()),0)))</f>
        <v/>
      </c>
      <c r="G290" s="17" t="str">
        <f t="shared" si="4"/>
        <v/>
      </c>
      <c r="H290" s="17" t="str">
        <f>IF(A290="","",IFERROR(TEXT(_xludf.maxifs(Completions!G:G,Completions!A:A,A290),"yyyy-mm-dd hh:mm"),"—"))</f>
        <v/>
      </c>
    </row>
    <row r="291" spans="1:8" ht="21.75" customHeight="1" x14ac:dyDescent="0.2">
      <c r="A291" s="16" t="str">
        <f>IFERROR(IF(Members!A288="","",Members!A288),"")</f>
        <v/>
      </c>
      <c r="B291" s="16" t="str">
        <f>IFERROR(IF(Members!A288="","",Members!B288),"")</f>
        <v/>
      </c>
      <c r="C291" s="16" t="str">
        <f>IFERROR(IF(Members!A288="","",Members!C288),"")</f>
        <v/>
      </c>
      <c r="D291" s="16" t="str">
        <f>IFERROR(IF(Members!A288="","",Members!D288),"")</f>
        <v/>
      </c>
      <c r="E291" s="16" t="str">
        <f>IF(A291="","",COUNTIF(Completions!A:A,A291))</f>
        <v/>
      </c>
      <c r="F291" s="16" t="str">
        <f>IF(A291="","",SUMPRODUCT((Completions!A$2:A$5000=A291)*IFERROR(VLOOKUP(Completions!B$2:B$5000,$J$4:$K$18,2,FALSE()),0)))</f>
        <v/>
      </c>
      <c r="G291" s="16" t="str">
        <f t="shared" si="4"/>
        <v/>
      </c>
      <c r="H291" s="16" t="str">
        <f>IF(A291="","",IFERROR(TEXT(_xludf.maxifs(Completions!G:G,Completions!A:A,A291),"yyyy-mm-dd hh:mm"),"—"))</f>
        <v/>
      </c>
    </row>
    <row r="292" spans="1:8" ht="21.75" customHeight="1" x14ac:dyDescent="0.2">
      <c r="A292" s="17" t="str">
        <f>IFERROR(IF(Members!A289="","",Members!A289),"")</f>
        <v/>
      </c>
      <c r="B292" s="17" t="str">
        <f>IFERROR(IF(Members!A289="","",Members!B289),"")</f>
        <v/>
      </c>
      <c r="C292" s="17" t="str">
        <f>IFERROR(IF(Members!A289="","",Members!C289),"")</f>
        <v/>
      </c>
      <c r="D292" s="17" t="str">
        <f>IFERROR(IF(Members!A289="","",Members!D289),"")</f>
        <v/>
      </c>
      <c r="E292" s="17" t="str">
        <f>IF(A292="","",COUNTIF(Completions!A:A,A292))</f>
        <v/>
      </c>
      <c r="F292" s="17" t="str">
        <f>IF(A292="","",SUMPRODUCT((Completions!A$2:A$5000=A292)*IFERROR(VLOOKUP(Completions!B$2:B$5000,$J$4:$K$18,2,FALSE()),0)))</f>
        <v/>
      </c>
      <c r="G292" s="17" t="str">
        <f t="shared" si="4"/>
        <v/>
      </c>
      <c r="H292" s="17" t="str">
        <f>IF(A292="","",IFERROR(TEXT(_xludf.maxifs(Completions!G:G,Completions!A:A,A292),"yyyy-mm-dd hh:mm"),"—"))</f>
        <v/>
      </c>
    </row>
    <row r="293" spans="1:8" ht="21.75" customHeight="1" x14ac:dyDescent="0.2">
      <c r="A293" s="16" t="str">
        <f>IFERROR(IF(Members!A290="","",Members!A290),"")</f>
        <v/>
      </c>
      <c r="B293" s="16" t="str">
        <f>IFERROR(IF(Members!A290="","",Members!B290),"")</f>
        <v/>
      </c>
      <c r="C293" s="16" t="str">
        <f>IFERROR(IF(Members!A290="","",Members!C290),"")</f>
        <v/>
      </c>
      <c r="D293" s="16" t="str">
        <f>IFERROR(IF(Members!A290="","",Members!D290),"")</f>
        <v/>
      </c>
      <c r="E293" s="16" t="str">
        <f>IF(A293="","",COUNTIF(Completions!A:A,A293))</f>
        <v/>
      </c>
      <c r="F293" s="16" t="str">
        <f>IF(A293="","",SUMPRODUCT((Completions!A$2:A$5000=A293)*IFERROR(VLOOKUP(Completions!B$2:B$5000,$J$4:$K$18,2,FALSE()),0)))</f>
        <v/>
      </c>
      <c r="G293" s="16" t="str">
        <f t="shared" si="4"/>
        <v/>
      </c>
      <c r="H293" s="16" t="str">
        <f>IF(A293="","",IFERROR(TEXT(_xludf.maxifs(Completions!G:G,Completions!A:A,A293),"yyyy-mm-dd hh:mm"),"—"))</f>
        <v/>
      </c>
    </row>
    <row r="294" spans="1:8" ht="21.75" customHeight="1" x14ac:dyDescent="0.2">
      <c r="A294" s="17" t="str">
        <f>IFERROR(IF(Members!A291="","",Members!A291),"")</f>
        <v/>
      </c>
      <c r="B294" s="17" t="str">
        <f>IFERROR(IF(Members!A291="","",Members!B291),"")</f>
        <v/>
      </c>
      <c r="C294" s="17" t="str">
        <f>IFERROR(IF(Members!A291="","",Members!C291),"")</f>
        <v/>
      </c>
      <c r="D294" s="17" t="str">
        <f>IFERROR(IF(Members!A291="","",Members!D291),"")</f>
        <v/>
      </c>
      <c r="E294" s="17" t="str">
        <f>IF(A294="","",COUNTIF(Completions!A:A,A294))</f>
        <v/>
      </c>
      <c r="F294" s="17" t="str">
        <f>IF(A294="","",SUMPRODUCT((Completions!A$2:A$5000=A294)*IFERROR(VLOOKUP(Completions!B$2:B$5000,$J$4:$K$18,2,FALSE()),0)))</f>
        <v/>
      </c>
      <c r="G294" s="17" t="str">
        <f t="shared" si="4"/>
        <v/>
      </c>
      <c r="H294" s="17" t="str">
        <f>IF(A294="","",IFERROR(TEXT(_xludf.maxifs(Completions!G:G,Completions!A:A,A294),"yyyy-mm-dd hh:mm"),"—"))</f>
        <v/>
      </c>
    </row>
    <row r="295" spans="1:8" ht="21.75" customHeight="1" x14ac:dyDescent="0.2">
      <c r="A295" s="16" t="str">
        <f>IFERROR(IF(Members!A292="","",Members!A292),"")</f>
        <v/>
      </c>
      <c r="B295" s="16" t="str">
        <f>IFERROR(IF(Members!A292="","",Members!B292),"")</f>
        <v/>
      </c>
      <c r="C295" s="16" t="str">
        <f>IFERROR(IF(Members!A292="","",Members!C292),"")</f>
        <v/>
      </c>
      <c r="D295" s="16" t="str">
        <f>IFERROR(IF(Members!A292="","",Members!D292),"")</f>
        <v/>
      </c>
      <c r="E295" s="16" t="str">
        <f>IF(A295="","",COUNTIF(Completions!A:A,A295))</f>
        <v/>
      </c>
      <c r="F295" s="16" t="str">
        <f>IF(A295="","",SUMPRODUCT((Completions!A$2:A$5000=A295)*IFERROR(VLOOKUP(Completions!B$2:B$5000,$J$4:$K$18,2,FALSE()),0)))</f>
        <v/>
      </c>
      <c r="G295" s="16" t="str">
        <f t="shared" si="4"/>
        <v/>
      </c>
      <c r="H295" s="16" t="str">
        <f>IF(A295="","",IFERROR(TEXT(_xludf.maxifs(Completions!G:G,Completions!A:A,A295),"yyyy-mm-dd hh:mm"),"—"))</f>
        <v/>
      </c>
    </row>
    <row r="296" spans="1:8" ht="21.75" customHeight="1" x14ac:dyDescent="0.2">
      <c r="A296" s="17" t="str">
        <f>IFERROR(IF(Members!A293="","",Members!A293),"")</f>
        <v/>
      </c>
      <c r="B296" s="17" t="str">
        <f>IFERROR(IF(Members!A293="","",Members!B293),"")</f>
        <v/>
      </c>
      <c r="C296" s="17" t="str">
        <f>IFERROR(IF(Members!A293="","",Members!C293),"")</f>
        <v/>
      </c>
      <c r="D296" s="17" t="str">
        <f>IFERROR(IF(Members!A293="","",Members!D293),"")</f>
        <v/>
      </c>
      <c r="E296" s="17" t="str">
        <f>IF(A296="","",COUNTIF(Completions!A:A,A296))</f>
        <v/>
      </c>
      <c r="F296" s="17" t="str">
        <f>IF(A296="","",SUMPRODUCT((Completions!A$2:A$5000=A296)*IFERROR(VLOOKUP(Completions!B$2:B$5000,$J$4:$K$18,2,FALSE()),0)))</f>
        <v/>
      </c>
      <c r="G296" s="17" t="str">
        <f t="shared" si="4"/>
        <v/>
      </c>
      <c r="H296" s="17" t="str">
        <f>IF(A296="","",IFERROR(TEXT(_xludf.maxifs(Completions!G:G,Completions!A:A,A296),"yyyy-mm-dd hh:mm"),"—"))</f>
        <v/>
      </c>
    </row>
    <row r="297" spans="1:8" ht="21.75" customHeight="1" x14ac:dyDescent="0.2">
      <c r="A297" s="16" t="str">
        <f>IFERROR(IF(Members!A294="","",Members!A294),"")</f>
        <v/>
      </c>
      <c r="B297" s="16" t="str">
        <f>IFERROR(IF(Members!A294="","",Members!B294),"")</f>
        <v/>
      </c>
      <c r="C297" s="16" t="str">
        <f>IFERROR(IF(Members!A294="","",Members!C294),"")</f>
        <v/>
      </c>
      <c r="D297" s="16" t="str">
        <f>IFERROR(IF(Members!A294="","",Members!D294),"")</f>
        <v/>
      </c>
      <c r="E297" s="16" t="str">
        <f>IF(A297="","",COUNTIF(Completions!A:A,A297))</f>
        <v/>
      </c>
      <c r="F297" s="16" t="str">
        <f>IF(A297="","",SUMPRODUCT((Completions!A$2:A$5000=A297)*IFERROR(VLOOKUP(Completions!B$2:B$5000,$J$4:$K$18,2,FALSE()),0)))</f>
        <v/>
      </c>
      <c r="G297" s="16" t="str">
        <f t="shared" si="4"/>
        <v/>
      </c>
      <c r="H297" s="16" t="str">
        <f>IF(A297="","",IFERROR(TEXT(_xludf.maxifs(Completions!G:G,Completions!A:A,A297),"yyyy-mm-dd hh:mm"),"—"))</f>
        <v/>
      </c>
    </row>
    <row r="298" spans="1:8" ht="21.75" customHeight="1" x14ac:dyDescent="0.2">
      <c r="A298" s="17" t="str">
        <f>IFERROR(IF(Members!A295="","",Members!A295),"")</f>
        <v/>
      </c>
      <c r="B298" s="17" t="str">
        <f>IFERROR(IF(Members!A295="","",Members!B295),"")</f>
        <v/>
      </c>
      <c r="C298" s="17" t="str">
        <f>IFERROR(IF(Members!A295="","",Members!C295),"")</f>
        <v/>
      </c>
      <c r="D298" s="17" t="str">
        <f>IFERROR(IF(Members!A295="","",Members!D295),"")</f>
        <v/>
      </c>
      <c r="E298" s="17" t="str">
        <f>IF(A298="","",COUNTIF(Completions!A:A,A298))</f>
        <v/>
      </c>
      <c r="F298" s="17" t="str">
        <f>IF(A298="","",SUMPRODUCT((Completions!A$2:A$5000=A298)*IFERROR(VLOOKUP(Completions!B$2:B$5000,$J$4:$K$18,2,FALSE()),0)))</f>
        <v/>
      </c>
      <c r="G298" s="17" t="str">
        <f t="shared" si="4"/>
        <v/>
      </c>
      <c r="H298" s="17" t="str">
        <f>IF(A298="","",IFERROR(TEXT(_xludf.maxifs(Completions!G:G,Completions!A:A,A298),"yyyy-mm-dd hh:mm"),"—"))</f>
        <v/>
      </c>
    </row>
    <row r="299" spans="1:8" ht="21.75" customHeight="1" x14ac:dyDescent="0.2">
      <c r="A299" s="16" t="str">
        <f>IFERROR(IF(Members!A296="","",Members!A296),"")</f>
        <v/>
      </c>
      <c r="B299" s="16" t="str">
        <f>IFERROR(IF(Members!A296="","",Members!B296),"")</f>
        <v/>
      </c>
      <c r="C299" s="16" t="str">
        <f>IFERROR(IF(Members!A296="","",Members!C296),"")</f>
        <v/>
      </c>
      <c r="D299" s="16" t="str">
        <f>IFERROR(IF(Members!A296="","",Members!D296),"")</f>
        <v/>
      </c>
      <c r="E299" s="16" t="str">
        <f>IF(A299="","",COUNTIF(Completions!A:A,A299))</f>
        <v/>
      </c>
      <c r="F299" s="16" t="str">
        <f>IF(A299="","",SUMPRODUCT((Completions!A$2:A$5000=A299)*IFERROR(VLOOKUP(Completions!B$2:B$5000,$J$4:$K$18,2,FALSE()),0)))</f>
        <v/>
      </c>
      <c r="G299" s="16" t="str">
        <f t="shared" si="4"/>
        <v/>
      </c>
      <c r="H299" s="16" t="str">
        <f>IF(A299="","",IFERROR(TEXT(_xludf.maxifs(Completions!G:G,Completions!A:A,A299),"yyyy-mm-dd hh:mm"),"—"))</f>
        <v/>
      </c>
    </row>
    <row r="300" spans="1:8" ht="21.75" customHeight="1" x14ac:dyDescent="0.2">
      <c r="A300" s="17" t="str">
        <f>IFERROR(IF(Members!A297="","",Members!A297),"")</f>
        <v/>
      </c>
      <c r="B300" s="17" t="str">
        <f>IFERROR(IF(Members!A297="","",Members!B297),"")</f>
        <v/>
      </c>
      <c r="C300" s="17" t="str">
        <f>IFERROR(IF(Members!A297="","",Members!C297),"")</f>
        <v/>
      </c>
      <c r="D300" s="17" t="str">
        <f>IFERROR(IF(Members!A297="","",Members!D297),"")</f>
        <v/>
      </c>
      <c r="E300" s="17" t="str">
        <f>IF(A300="","",COUNTIF(Completions!A:A,A300))</f>
        <v/>
      </c>
      <c r="F300" s="17" t="str">
        <f>IF(A300="","",SUMPRODUCT((Completions!A$2:A$5000=A300)*IFERROR(VLOOKUP(Completions!B$2:B$5000,$J$4:$K$18,2,FALSE()),0)))</f>
        <v/>
      </c>
      <c r="G300" s="17" t="str">
        <f t="shared" si="4"/>
        <v/>
      </c>
      <c r="H300" s="17" t="str">
        <f>IF(A300="","",IFERROR(TEXT(_xludf.maxifs(Completions!G:G,Completions!A:A,A300),"yyyy-mm-dd hh:mm"),"—"))</f>
        <v/>
      </c>
    </row>
    <row r="301" spans="1:8" ht="21.75" customHeight="1" x14ac:dyDescent="0.2">
      <c r="A301" s="16" t="str">
        <f>IFERROR(IF(Members!A298="","",Members!A298),"")</f>
        <v/>
      </c>
      <c r="B301" s="16" t="str">
        <f>IFERROR(IF(Members!A298="","",Members!B298),"")</f>
        <v/>
      </c>
      <c r="C301" s="16" t="str">
        <f>IFERROR(IF(Members!A298="","",Members!C298),"")</f>
        <v/>
      </c>
      <c r="D301" s="16" t="str">
        <f>IFERROR(IF(Members!A298="","",Members!D298),"")</f>
        <v/>
      </c>
      <c r="E301" s="16" t="str">
        <f>IF(A301="","",COUNTIF(Completions!A:A,A301))</f>
        <v/>
      </c>
      <c r="F301" s="16" t="str">
        <f>IF(A301="","",SUMPRODUCT((Completions!A$2:A$5000=A301)*IFERROR(VLOOKUP(Completions!B$2:B$5000,$J$4:$K$18,2,FALSE()),0)))</f>
        <v/>
      </c>
      <c r="G301" s="16" t="str">
        <f t="shared" si="4"/>
        <v/>
      </c>
      <c r="H301" s="16" t="str">
        <f>IF(A301="","",IFERROR(TEXT(_xludf.maxifs(Completions!G:G,Completions!A:A,A301),"yyyy-mm-dd hh:mm"),"—"))</f>
        <v/>
      </c>
    </row>
    <row r="302" spans="1:8" ht="21.75" customHeight="1" x14ac:dyDescent="0.2">
      <c r="A302" s="17" t="str">
        <f>IFERROR(IF(Members!A299="","",Members!A299),"")</f>
        <v/>
      </c>
      <c r="B302" s="17" t="str">
        <f>IFERROR(IF(Members!A299="","",Members!B299),"")</f>
        <v/>
      </c>
      <c r="C302" s="17" t="str">
        <f>IFERROR(IF(Members!A299="","",Members!C299),"")</f>
        <v/>
      </c>
      <c r="D302" s="17" t="str">
        <f>IFERROR(IF(Members!A299="","",Members!D299),"")</f>
        <v/>
      </c>
      <c r="E302" s="17" t="str">
        <f>IF(A302="","",COUNTIF(Completions!A:A,A302))</f>
        <v/>
      </c>
      <c r="F302" s="17" t="str">
        <f>IF(A302="","",SUMPRODUCT((Completions!A$2:A$5000=A302)*IFERROR(VLOOKUP(Completions!B$2:B$5000,$J$4:$K$18,2,FALSE()),0)))</f>
        <v/>
      </c>
      <c r="G302" s="17" t="str">
        <f t="shared" si="4"/>
        <v/>
      </c>
      <c r="H302" s="17" t="str">
        <f>IF(A302="","",IFERROR(TEXT(_xludf.maxifs(Completions!G:G,Completions!A:A,A302),"yyyy-mm-dd hh:mm"),"—"))</f>
        <v/>
      </c>
    </row>
    <row r="303" spans="1:8" ht="21.75" customHeight="1" x14ac:dyDescent="0.2">
      <c r="A303" s="16" t="str">
        <f>IFERROR(IF(Members!A300="","",Members!A300),"")</f>
        <v/>
      </c>
      <c r="B303" s="16" t="str">
        <f>IFERROR(IF(Members!A300="","",Members!B300),"")</f>
        <v/>
      </c>
      <c r="C303" s="16" t="str">
        <f>IFERROR(IF(Members!A300="","",Members!C300),"")</f>
        <v/>
      </c>
      <c r="D303" s="16" t="str">
        <f>IFERROR(IF(Members!A300="","",Members!D300),"")</f>
        <v/>
      </c>
      <c r="E303" s="16" t="str">
        <f>IF(A303="","",COUNTIF(Completions!A:A,A303))</f>
        <v/>
      </c>
      <c r="F303" s="16" t="str">
        <f>IF(A303="","",SUMPRODUCT((Completions!A$2:A$5000=A303)*IFERROR(VLOOKUP(Completions!B$2:B$5000,$J$4:$K$18,2,FALSE()),0)))</f>
        <v/>
      </c>
      <c r="G303" s="16" t="str">
        <f t="shared" si="4"/>
        <v/>
      </c>
      <c r="H303" s="16" t="str">
        <f>IF(A303="","",IFERROR(TEXT(_xludf.maxifs(Completions!G:G,Completions!A:A,A303),"yyyy-mm-dd hh:mm"),"—"))</f>
        <v/>
      </c>
    </row>
    <row r="304" spans="1:8" ht="21.75" customHeight="1" x14ac:dyDescent="0.2">
      <c r="A304" s="17" t="str">
        <f>IFERROR(IF(Members!A301="","",Members!A301),"")</f>
        <v/>
      </c>
      <c r="B304" s="17" t="str">
        <f>IFERROR(IF(Members!A301="","",Members!B301),"")</f>
        <v/>
      </c>
      <c r="C304" s="17" t="str">
        <f>IFERROR(IF(Members!A301="","",Members!C301),"")</f>
        <v/>
      </c>
      <c r="D304" s="17" t="str">
        <f>IFERROR(IF(Members!A301="","",Members!D301),"")</f>
        <v/>
      </c>
      <c r="E304" s="17" t="str">
        <f>IF(A304="","",COUNTIF(Completions!A:A,A304))</f>
        <v/>
      </c>
      <c r="F304" s="17" t="str">
        <f>IF(A304="","",SUMPRODUCT((Completions!A$2:A$5000=A304)*IFERROR(VLOOKUP(Completions!B$2:B$5000,$J$4:$K$18,2,FALSE()),0)))</f>
        <v/>
      </c>
      <c r="G304" s="17" t="str">
        <f t="shared" si="4"/>
        <v/>
      </c>
      <c r="H304" s="17" t="str">
        <f>IF(A304="","",IFERROR(TEXT(_xludf.maxifs(Completions!G:G,Completions!A:A,A304),"yyyy-mm-dd hh:mm"),"—"))</f>
        <v/>
      </c>
    </row>
    <row r="305" spans="1:8" ht="21.75" customHeight="1" x14ac:dyDescent="0.2">
      <c r="A305" s="16" t="str">
        <f>IFERROR(IF(Members!A302="","",Members!A302),"")</f>
        <v/>
      </c>
      <c r="B305" s="16" t="str">
        <f>IFERROR(IF(Members!A302="","",Members!B302),"")</f>
        <v/>
      </c>
      <c r="C305" s="16" t="str">
        <f>IFERROR(IF(Members!A302="","",Members!C302),"")</f>
        <v/>
      </c>
      <c r="D305" s="16" t="str">
        <f>IFERROR(IF(Members!A302="","",Members!D302),"")</f>
        <v/>
      </c>
      <c r="E305" s="16" t="str">
        <f>IF(A305="","",COUNTIF(Completions!A:A,A305))</f>
        <v/>
      </c>
      <c r="F305" s="16" t="str">
        <f>IF(A305="","",SUMPRODUCT((Completions!A$2:A$5000=A305)*IFERROR(VLOOKUP(Completions!B$2:B$5000,$J$4:$K$18,2,FALSE()),0)))</f>
        <v/>
      </c>
      <c r="G305" s="16" t="str">
        <f t="shared" si="4"/>
        <v/>
      </c>
      <c r="H305" s="16" t="str">
        <f>IF(A305="","",IFERROR(TEXT(_xludf.maxifs(Completions!G:G,Completions!A:A,A305),"yyyy-mm-dd hh:mm"),"—"))</f>
        <v/>
      </c>
    </row>
    <row r="306" spans="1:8" ht="21.75" customHeight="1" x14ac:dyDescent="0.2">
      <c r="A306" s="17" t="str">
        <f>IFERROR(IF(Members!A303="","",Members!A303),"")</f>
        <v/>
      </c>
      <c r="B306" s="17" t="str">
        <f>IFERROR(IF(Members!A303="","",Members!B303),"")</f>
        <v/>
      </c>
      <c r="C306" s="17" t="str">
        <f>IFERROR(IF(Members!A303="","",Members!C303),"")</f>
        <v/>
      </c>
      <c r="D306" s="17" t="str">
        <f>IFERROR(IF(Members!A303="","",Members!D303),"")</f>
        <v/>
      </c>
      <c r="E306" s="17" t="str">
        <f>IF(A306="","",COUNTIF(Completions!A:A,A306))</f>
        <v/>
      </c>
      <c r="F306" s="17" t="str">
        <f>IF(A306="","",SUMPRODUCT((Completions!A$2:A$5000=A306)*IFERROR(VLOOKUP(Completions!B$2:B$5000,$J$4:$K$18,2,FALSE()),0)))</f>
        <v/>
      </c>
      <c r="G306" s="17" t="str">
        <f t="shared" si="4"/>
        <v/>
      </c>
      <c r="H306" s="17" t="str">
        <f>IF(A306="","",IFERROR(TEXT(_xludf.maxifs(Completions!G:G,Completions!A:A,A306),"yyyy-mm-dd hh:mm"),"—"))</f>
        <v/>
      </c>
    </row>
    <row r="307" spans="1:8" ht="21.75" customHeight="1" x14ac:dyDescent="0.2">
      <c r="A307" s="16" t="str">
        <f>IFERROR(IF(Members!A304="","",Members!A304),"")</f>
        <v/>
      </c>
      <c r="B307" s="16" t="str">
        <f>IFERROR(IF(Members!A304="","",Members!B304),"")</f>
        <v/>
      </c>
      <c r="C307" s="16" t="str">
        <f>IFERROR(IF(Members!A304="","",Members!C304),"")</f>
        <v/>
      </c>
      <c r="D307" s="16" t="str">
        <f>IFERROR(IF(Members!A304="","",Members!D304),"")</f>
        <v/>
      </c>
      <c r="E307" s="16" t="str">
        <f>IF(A307="","",COUNTIF(Completions!A:A,A307))</f>
        <v/>
      </c>
      <c r="F307" s="16" t="str">
        <f>IF(A307="","",SUMPRODUCT((Completions!A$2:A$5000=A307)*IFERROR(VLOOKUP(Completions!B$2:B$5000,$J$4:$K$18,2,FALSE()),0)))</f>
        <v/>
      </c>
      <c r="G307" s="16" t="str">
        <f t="shared" si="4"/>
        <v/>
      </c>
      <c r="H307" s="16" t="str">
        <f>IF(A307="","",IFERROR(TEXT(_xludf.maxifs(Completions!G:G,Completions!A:A,A307),"yyyy-mm-dd hh:mm"),"—"))</f>
        <v/>
      </c>
    </row>
    <row r="308" spans="1:8" ht="21.75" customHeight="1" x14ac:dyDescent="0.2">
      <c r="A308" s="17" t="str">
        <f>IFERROR(IF(Members!A305="","",Members!A305),"")</f>
        <v/>
      </c>
      <c r="B308" s="17" t="str">
        <f>IFERROR(IF(Members!A305="","",Members!B305),"")</f>
        <v/>
      </c>
      <c r="C308" s="17" t="str">
        <f>IFERROR(IF(Members!A305="","",Members!C305),"")</f>
        <v/>
      </c>
      <c r="D308" s="17" t="str">
        <f>IFERROR(IF(Members!A305="","",Members!D305),"")</f>
        <v/>
      </c>
      <c r="E308" s="17" t="str">
        <f>IF(A308="","",COUNTIF(Completions!A:A,A308))</f>
        <v/>
      </c>
      <c r="F308" s="17" t="str">
        <f>IF(A308="","",SUMPRODUCT((Completions!A$2:A$5000=A308)*IFERROR(VLOOKUP(Completions!B$2:B$5000,$J$4:$K$18,2,FALSE()),0)))</f>
        <v/>
      </c>
      <c r="G308" s="17" t="str">
        <f t="shared" si="4"/>
        <v/>
      </c>
      <c r="H308" s="17" t="str">
        <f>IF(A308="","",IFERROR(TEXT(_xludf.maxifs(Completions!G:G,Completions!A:A,A308),"yyyy-mm-dd hh:mm"),"—"))</f>
        <v/>
      </c>
    </row>
    <row r="309" spans="1:8" ht="21.75" customHeight="1" x14ac:dyDescent="0.2">
      <c r="A309" s="16" t="str">
        <f>IFERROR(IF(Members!A306="","",Members!A306),"")</f>
        <v/>
      </c>
      <c r="B309" s="16" t="str">
        <f>IFERROR(IF(Members!A306="","",Members!B306),"")</f>
        <v/>
      </c>
      <c r="C309" s="16" t="str">
        <f>IFERROR(IF(Members!A306="","",Members!C306),"")</f>
        <v/>
      </c>
      <c r="D309" s="16" t="str">
        <f>IFERROR(IF(Members!A306="","",Members!D306),"")</f>
        <v/>
      </c>
      <c r="E309" s="16" t="str">
        <f>IF(A309="","",COUNTIF(Completions!A:A,A309))</f>
        <v/>
      </c>
      <c r="F309" s="16" t="str">
        <f>IF(A309="","",SUMPRODUCT((Completions!A$2:A$5000=A309)*IFERROR(VLOOKUP(Completions!B$2:B$5000,$J$4:$K$18,2,FALSE()),0)))</f>
        <v/>
      </c>
      <c r="G309" s="16" t="str">
        <f t="shared" si="4"/>
        <v/>
      </c>
      <c r="H309" s="16" t="str">
        <f>IF(A309="","",IFERROR(TEXT(_xludf.maxifs(Completions!G:G,Completions!A:A,A309),"yyyy-mm-dd hh:mm"),"—"))</f>
        <v/>
      </c>
    </row>
    <row r="310" spans="1:8" ht="21.75" customHeight="1" x14ac:dyDescent="0.2">
      <c r="A310" s="17" t="str">
        <f>IFERROR(IF(Members!A307="","",Members!A307),"")</f>
        <v/>
      </c>
      <c r="B310" s="17" t="str">
        <f>IFERROR(IF(Members!A307="","",Members!B307),"")</f>
        <v/>
      </c>
      <c r="C310" s="17" t="str">
        <f>IFERROR(IF(Members!A307="","",Members!C307),"")</f>
        <v/>
      </c>
      <c r="D310" s="17" t="str">
        <f>IFERROR(IF(Members!A307="","",Members!D307),"")</f>
        <v/>
      </c>
      <c r="E310" s="17" t="str">
        <f>IF(A310="","",COUNTIF(Completions!A:A,A310))</f>
        <v/>
      </c>
      <c r="F310" s="17" t="str">
        <f>IF(A310="","",SUMPRODUCT((Completions!A$2:A$5000=A310)*IFERROR(VLOOKUP(Completions!B$2:B$5000,$J$4:$K$18,2,FALSE()),0)))</f>
        <v/>
      </c>
      <c r="G310" s="17" t="str">
        <f t="shared" si="4"/>
        <v/>
      </c>
      <c r="H310" s="17" t="str">
        <f>IF(A310="","",IFERROR(TEXT(_xludf.maxifs(Completions!G:G,Completions!A:A,A310),"yyyy-mm-dd hh:mm"),"—"))</f>
        <v/>
      </c>
    </row>
    <row r="311" spans="1:8" ht="21.75" customHeight="1" x14ac:dyDescent="0.2">
      <c r="A311" s="16" t="str">
        <f>IFERROR(IF(Members!A308="","",Members!A308),"")</f>
        <v/>
      </c>
      <c r="B311" s="16" t="str">
        <f>IFERROR(IF(Members!A308="","",Members!B308),"")</f>
        <v/>
      </c>
      <c r="C311" s="16" t="str">
        <f>IFERROR(IF(Members!A308="","",Members!C308),"")</f>
        <v/>
      </c>
      <c r="D311" s="16" t="str">
        <f>IFERROR(IF(Members!A308="","",Members!D308),"")</f>
        <v/>
      </c>
      <c r="E311" s="16" t="str">
        <f>IF(A311="","",COUNTIF(Completions!A:A,A311))</f>
        <v/>
      </c>
      <c r="F311" s="16" t="str">
        <f>IF(A311="","",SUMPRODUCT((Completions!A$2:A$5000=A311)*IFERROR(VLOOKUP(Completions!B$2:B$5000,$J$4:$K$18,2,FALSE()),0)))</f>
        <v/>
      </c>
      <c r="G311" s="16" t="str">
        <f t="shared" si="4"/>
        <v/>
      </c>
      <c r="H311" s="16" t="str">
        <f>IF(A311="","",IFERROR(TEXT(_xludf.maxifs(Completions!G:G,Completions!A:A,A311),"yyyy-mm-dd hh:mm"),"—"))</f>
        <v/>
      </c>
    </row>
    <row r="312" spans="1:8" ht="21.75" customHeight="1" x14ac:dyDescent="0.2">
      <c r="A312" s="17" t="str">
        <f>IFERROR(IF(Members!A309="","",Members!A309),"")</f>
        <v/>
      </c>
      <c r="B312" s="17" t="str">
        <f>IFERROR(IF(Members!A309="","",Members!B309),"")</f>
        <v/>
      </c>
      <c r="C312" s="17" t="str">
        <f>IFERROR(IF(Members!A309="","",Members!C309),"")</f>
        <v/>
      </c>
      <c r="D312" s="17" t="str">
        <f>IFERROR(IF(Members!A309="","",Members!D309),"")</f>
        <v/>
      </c>
      <c r="E312" s="17" t="str">
        <f>IF(A312="","",COUNTIF(Completions!A:A,A312))</f>
        <v/>
      </c>
      <c r="F312" s="17" t="str">
        <f>IF(A312="","",SUMPRODUCT((Completions!A$2:A$5000=A312)*IFERROR(VLOOKUP(Completions!B$2:B$5000,$J$4:$K$18,2,FALSE()),0)))</f>
        <v/>
      </c>
      <c r="G312" s="17" t="str">
        <f t="shared" si="4"/>
        <v/>
      </c>
      <c r="H312" s="17" t="str">
        <f>IF(A312="","",IFERROR(TEXT(_xludf.maxifs(Completions!G:G,Completions!A:A,A312),"yyyy-mm-dd hh:mm"),"—"))</f>
        <v/>
      </c>
    </row>
    <row r="313" spans="1:8" ht="21.75" customHeight="1" x14ac:dyDescent="0.2">
      <c r="A313" s="16" t="str">
        <f>IFERROR(IF(Members!A310="","",Members!A310),"")</f>
        <v/>
      </c>
      <c r="B313" s="16" t="str">
        <f>IFERROR(IF(Members!A310="","",Members!B310),"")</f>
        <v/>
      </c>
      <c r="C313" s="16" t="str">
        <f>IFERROR(IF(Members!A310="","",Members!C310),"")</f>
        <v/>
      </c>
      <c r="D313" s="16" t="str">
        <f>IFERROR(IF(Members!A310="","",Members!D310),"")</f>
        <v/>
      </c>
      <c r="E313" s="16" t="str">
        <f>IF(A313="","",COUNTIF(Completions!A:A,A313))</f>
        <v/>
      </c>
      <c r="F313" s="16" t="str">
        <f>IF(A313="","",SUMPRODUCT((Completions!A$2:A$5000=A313)*IFERROR(VLOOKUP(Completions!B$2:B$5000,$J$4:$K$18,2,FALSE()),0)))</f>
        <v/>
      </c>
      <c r="G313" s="16" t="str">
        <f t="shared" si="4"/>
        <v/>
      </c>
      <c r="H313" s="16" t="str">
        <f>IF(A313="","",IFERROR(TEXT(_xludf.maxifs(Completions!G:G,Completions!A:A,A313),"yyyy-mm-dd hh:mm"),"—"))</f>
        <v/>
      </c>
    </row>
    <row r="314" spans="1:8" ht="21.75" customHeight="1" x14ac:dyDescent="0.2">
      <c r="A314" s="17" t="str">
        <f>IFERROR(IF(Members!A311="","",Members!A311),"")</f>
        <v/>
      </c>
      <c r="B314" s="17" t="str">
        <f>IFERROR(IF(Members!A311="","",Members!B311),"")</f>
        <v/>
      </c>
      <c r="C314" s="17" t="str">
        <f>IFERROR(IF(Members!A311="","",Members!C311),"")</f>
        <v/>
      </c>
      <c r="D314" s="17" t="str">
        <f>IFERROR(IF(Members!A311="","",Members!D311),"")</f>
        <v/>
      </c>
      <c r="E314" s="17" t="str">
        <f>IF(A314="","",COUNTIF(Completions!A:A,A314))</f>
        <v/>
      </c>
      <c r="F314" s="17" t="str">
        <f>IF(A314="","",SUMPRODUCT((Completions!A$2:A$5000=A314)*IFERROR(VLOOKUP(Completions!B$2:B$5000,$J$4:$K$18,2,FALSE()),0)))</f>
        <v/>
      </c>
      <c r="G314" s="17" t="str">
        <f t="shared" si="4"/>
        <v/>
      </c>
      <c r="H314" s="17" t="str">
        <f>IF(A314="","",IFERROR(TEXT(_xludf.maxifs(Completions!G:G,Completions!A:A,A314),"yyyy-mm-dd hh:mm"),"—"))</f>
        <v/>
      </c>
    </row>
    <row r="315" spans="1:8" ht="21.75" customHeight="1" x14ac:dyDescent="0.2">
      <c r="A315" s="16" t="str">
        <f>IFERROR(IF(Members!A312="","",Members!A312),"")</f>
        <v/>
      </c>
      <c r="B315" s="16" t="str">
        <f>IFERROR(IF(Members!A312="","",Members!B312),"")</f>
        <v/>
      </c>
      <c r="C315" s="16" t="str">
        <f>IFERROR(IF(Members!A312="","",Members!C312),"")</f>
        <v/>
      </c>
      <c r="D315" s="16" t="str">
        <f>IFERROR(IF(Members!A312="","",Members!D312),"")</f>
        <v/>
      </c>
      <c r="E315" s="16" t="str">
        <f>IF(A315="","",COUNTIF(Completions!A:A,A315))</f>
        <v/>
      </c>
      <c r="F315" s="16" t="str">
        <f>IF(A315="","",SUMPRODUCT((Completions!A$2:A$5000=A315)*IFERROR(VLOOKUP(Completions!B$2:B$5000,$J$4:$K$18,2,FALSE()),0)))</f>
        <v/>
      </c>
      <c r="G315" s="16" t="str">
        <f t="shared" si="4"/>
        <v/>
      </c>
      <c r="H315" s="16" t="str">
        <f>IF(A315="","",IFERROR(TEXT(_xludf.maxifs(Completions!G:G,Completions!A:A,A315),"yyyy-mm-dd hh:mm"),"—"))</f>
        <v/>
      </c>
    </row>
    <row r="316" spans="1:8" ht="21.75" customHeight="1" x14ac:dyDescent="0.2">
      <c r="A316" s="17" t="str">
        <f>IFERROR(IF(Members!A313="","",Members!A313),"")</f>
        <v/>
      </c>
      <c r="B316" s="17" t="str">
        <f>IFERROR(IF(Members!A313="","",Members!B313),"")</f>
        <v/>
      </c>
      <c r="C316" s="17" t="str">
        <f>IFERROR(IF(Members!A313="","",Members!C313),"")</f>
        <v/>
      </c>
      <c r="D316" s="17" t="str">
        <f>IFERROR(IF(Members!A313="","",Members!D313),"")</f>
        <v/>
      </c>
      <c r="E316" s="17" t="str">
        <f>IF(A316="","",COUNTIF(Completions!A:A,A316))</f>
        <v/>
      </c>
      <c r="F316" s="17" t="str">
        <f>IF(A316="","",SUMPRODUCT((Completions!A$2:A$5000=A316)*IFERROR(VLOOKUP(Completions!B$2:B$5000,$J$4:$K$18,2,FALSE()),0)))</f>
        <v/>
      </c>
      <c r="G316" s="17" t="str">
        <f t="shared" si="4"/>
        <v/>
      </c>
      <c r="H316" s="17" t="str">
        <f>IF(A316="","",IFERROR(TEXT(_xludf.maxifs(Completions!G:G,Completions!A:A,A316),"yyyy-mm-dd hh:mm"),"—"))</f>
        <v/>
      </c>
    </row>
    <row r="317" spans="1:8" ht="21.75" customHeight="1" x14ac:dyDescent="0.2">
      <c r="A317" s="16" t="str">
        <f>IFERROR(IF(Members!A314="","",Members!A314),"")</f>
        <v/>
      </c>
      <c r="B317" s="16" t="str">
        <f>IFERROR(IF(Members!A314="","",Members!B314),"")</f>
        <v/>
      </c>
      <c r="C317" s="16" t="str">
        <f>IFERROR(IF(Members!A314="","",Members!C314),"")</f>
        <v/>
      </c>
      <c r="D317" s="16" t="str">
        <f>IFERROR(IF(Members!A314="","",Members!D314),"")</f>
        <v/>
      </c>
      <c r="E317" s="16" t="str">
        <f>IF(A317="","",COUNTIF(Completions!A:A,A317))</f>
        <v/>
      </c>
      <c r="F317" s="16" t="str">
        <f>IF(A317="","",SUMPRODUCT((Completions!A$2:A$5000=A317)*IFERROR(VLOOKUP(Completions!B$2:B$5000,$J$4:$K$18,2,FALSE()),0)))</f>
        <v/>
      </c>
      <c r="G317" s="16" t="str">
        <f t="shared" si="4"/>
        <v/>
      </c>
      <c r="H317" s="16" t="str">
        <f>IF(A317="","",IFERROR(TEXT(_xludf.maxifs(Completions!G:G,Completions!A:A,A317),"yyyy-mm-dd hh:mm"),"—"))</f>
        <v/>
      </c>
    </row>
    <row r="318" spans="1:8" ht="21.75" customHeight="1" x14ac:dyDescent="0.2">
      <c r="A318" s="17" t="str">
        <f>IFERROR(IF(Members!A315="","",Members!A315),"")</f>
        <v/>
      </c>
      <c r="B318" s="17" t="str">
        <f>IFERROR(IF(Members!A315="","",Members!B315),"")</f>
        <v/>
      </c>
      <c r="C318" s="17" t="str">
        <f>IFERROR(IF(Members!A315="","",Members!C315),"")</f>
        <v/>
      </c>
      <c r="D318" s="17" t="str">
        <f>IFERROR(IF(Members!A315="","",Members!D315),"")</f>
        <v/>
      </c>
      <c r="E318" s="17" t="str">
        <f>IF(A318="","",COUNTIF(Completions!A:A,A318))</f>
        <v/>
      </c>
      <c r="F318" s="17" t="str">
        <f>IF(A318="","",SUMPRODUCT((Completions!A$2:A$5000=A318)*IFERROR(VLOOKUP(Completions!B$2:B$5000,$J$4:$K$18,2,FALSE()),0)))</f>
        <v/>
      </c>
      <c r="G318" s="17" t="str">
        <f t="shared" si="4"/>
        <v/>
      </c>
      <c r="H318" s="17" t="str">
        <f>IF(A318="","",IFERROR(TEXT(_xludf.maxifs(Completions!G:G,Completions!A:A,A318),"yyyy-mm-dd hh:mm"),"—"))</f>
        <v/>
      </c>
    </row>
    <row r="319" spans="1:8" ht="21.75" customHeight="1" x14ac:dyDescent="0.2">
      <c r="A319" s="16" t="str">
        <f>IFERROR(IF(Members!A316="","",Members!A316),"")</f>
        <v/>
      </c>
      <c r="B319" s="16" t="str">
        <f>IFERROR(IF(Members!A316="","",Members!B316),"")</f>
        <v/>
      </c>
      <c r="C319" s="16" t="str">
        <f>IFERROR(IF(Members!A316="","",Members!C316),"")</f>
        <v/>
      </c>
      <c r="D319" s="16" t="str">
        <f>IFERROR(IF(Members!A316="","",Members!D316),"")</f>
        <v/>
      </c>
      <c r="E319" s="16" t="str">
        <f>IF(A319="","",COUNTIF(Completions!A:A,A319))</f>
        <v/>
      </c>
      <c r="F319" s="16" t="str">
        <f>IF(A319="","",SUMPRODUCT((Completions!A$2:A$5000=A319)*IFERROR(VLOOKUP(Completions!B$2:B$5000,$J$4:$K$18,2,FALSE()),0)))</f>
        <v/>
      </c>
      <c r="G319" s="16" t="str">
        <f t="shared" si="4"/>
        <v/>
      </c>
      <c r="H319" s="16" t="str">
        <f>IF(A319="","",IFERROR(TEXT(_xludf.maxifs(Completions!G:G,Completions!A:A,A319),"yyyy-mm-dd hh:mm"),"—"))</f>
        <v/>
      </c>
    </row>
    <row r="320" spans="1:8" ht="21.75" customHeight="1" x14ac:dyDescent="0.2">
      <c r="A320" s="17" t="str">
        <f>IFERROR(IF(Members!A317="","",Members!A317),"")</f>
        <v/>
      </c>
      <c r="B320" s="17" t="str">
        <f>IFERROR(IF(Members!A317="","",Members!B317),"")</f>
        <v/>
      </c>
      <c r="C320" s="17" t="str">
        <f>IFERROR(IF(Members!A317="","",Members!C317),"")</f>
        <v/>
      </c>
      <c r="D320" s="17" t="str">
        <f>IFERROR(IF(Members!A317="","",Members!D317),"")</f>
        <v/>
      </c>
      <c r="E320" s="17" t="str">
        <f>IF(A320="","",COUNTIF(Completions!A:A,A320))</f>
        <v/>
      </c>
      <c r="F320" s="17" t="str">
        <f>IF(A320="","",SUMPRODUCT((Completions!A$2:A$5000=A320)*IFERROR(VLOOKUP(Completions!B$2:B$5000,$J$4:$K$18,2,FALSE()),0)))</f>
        <v/>
      </c>
      <c r="G320" s="17" t="str">
        <f t="shared" si="4"/>
        <v/>
      </c>
      <c r="H320" s="17" t="str">
        <f>IF(A320="","",IFERROR(TEXT(_xludf.maxifs(Completions!G:G,Completions!A:A,A320),"yyyy-mm-dd hh:mm"),"—"))</f>
        <v/>
      </c>
    </row>
    <row r="321" spans="1:8" ht="21.75" customHeight="1" x14ac:dyDescent="0.2">
      <c r="A321" s="16" t="str">
        <f>IFERROR(IF(Members!A318="","",Members!A318),"")</f>
        <v/>
      </c>
      <c r="B321" s="16" t="str">
        <f>IFERROR(IF(Members!A318="","",Members!B318),"")</f>
        <v/>
      </c>
      <c r="C321" s="16" t="str">
        <f>IFERROR(IF(Members!A318="","",Members!C318),"")</f>
        <v/>
      </c>
      <c r="D321" s="16" t="str">
        <f>IFERROR(IF(Members!A318="","",Members!D318),"")</f>
        <v/>
      </c>
      <c r="E321" s="16" t="str">
        <f>IF(A321="","",COUNTIF(Completions!A:A,A321))</f>
        <v/>
      </c>
      <c r="F321" s="16" t="str">
        <f>IF(A321="","",SUMPRODUCT((Completions!A$2:A$5000=A321)*IFERROR(VLOOKUP(Completions!B$2:B$5000,$J$4:$K$18,2,FALSE()),0)))</f>
        <v/>
      </c>
      <c r="G321" s="16" t="str">
        <f t="shared" si="4"/>
        <v/>
      </c>
      <c r="H321" s="16" t="str">
        <f>IF(A321="","",IFERROR(TEXT(_xludf.maxifs(Completions!G:G,Completions!A:A,A321),"yyyy-mm-dd hh:mm"),"—"))</f>
        <v/>
      </c>
    </row>
    <row r="322" spans="1:8" ht="21.75" customHeight="1" x14ac:dyDescent="0.2">
      <c r="A322" s="17" t="str">
        <f>IFERROR(IF(Members!A319="","",Members!A319),"")</f>
        <v/>
      </c>
      <c r="B322" s="17" t="str">
        <f>IFERROR(IF(Members!A319="","",Members!B319),"")</f>
        <v/>
      </c>
      <c r="C322" s="17" t="str">
        <f>IFERROR(IF(Members!A319="","",Members!C319),"")</f>
        <v/>
      </c>
      <c r="D322" s="17" t="str">
        <f>IFERROR(IF(Members!A319="","",Members!D319),"")</f>
        <v/>
      </c>
      <c r="E322" s="17" t="str">
        <f>IF(A322="","",COUNTIF(Completions!A:A,A322))</f>
        <v/>
      </c>
      <c r="F322" s="17" t="str">
        <f>IF(A322="","",SUMPRODUCT((Completions!A$2:A$5000=A322)*IFERROR(VLOOKUP(Completions!B$2:B$5000,$J$4:$K$18,2,FALSE()),0)))</f>
        <v/>
      </c>
      <c r="G322" s="17" t="str">
        <f t="shared" si="4"/>
        <v/>
      </c>
      <c r="H322" s="17" t="str">
        <f>IF(A322="","",IFERROR(TEXT(_xludf.maxifs(Completions!G:G,Completions!A:A,A322),"yyyy-mm-dd hh:mm"),"—"))</f>
        <v/>
      </c>
    </row>
    <row r="323" spans="1:8" ht="21.75" customHeight="1" x14ac:dyDescent="0.2">
      <c r="A323" s="16" t="str">
        <f>IFERROR(IF(Members!A320="","",Members!A320),"")</f>
        <v/>
      </c>
      <c r="B323" s="16" t="str">
        <f>IFERROR(IF(Members!A320="","",Members!B320),"")</f>
        <v/>
      </c>
      <c r="C323" s="16" t="str">
        <f>IFERROR(IF(Members!A320="","",Members!C320),"")</f>
        <v/>
      </c>
      <c r="D323" s="16" t="str">
        <f>IFERROR(IF(Members!A320="","",Members!D320),"")</f>
        <v/>
      </c>
      <c r="E323" s="16" t="str">
        <f>IF(A323="","",COUNTIF(Completions!A:A,A323))</f>
        <v/>
      </c>
      <c r="F323" s="16" t="str">
        <f>IF(A323="","",SUMPRODUCT((Completions!A$2:A$5000=A323)*IFERROR(VLOOKUP(Completions!B$2:B$5000,$J$4:$K$18,2,FALSE()),0)))</f>
        <v/>
      </c>
      <c r="G323" s="16" t="str">
        <f t="shared" si="4"/>
        <v/>
      </c>
      <c r="H323" s="16" t="str">
        <f>IF(A323="","",IFERROR(TEXT(_xludf.maxifs(Completions!G:G,Completions!A:A,A323),"yyyy-mm-dd hh:mm"),"—"))</f>
        <v/>
      </c>
    </row>
    <row r="324" spans="1:8" ht="21.75" customHeight="1" x14ac:dyDescent="0.2">
      <c r="A324" s="17" t="str">
        <f>IFERROR(IF(Members!A321="","",Members!A321),"")</f>
        <v/>
      </c>
      <c r="B324" s="17" t="str">
        <f>IFERROR(IF(Members!A321="","",Members!B321),"")</f>
        <v/>
      </c>
      <c r="C324" s="17" t="str">
        <f>IFERROR(IF(Members!A321="","",Members!C321),"")</f>
        <v/>
      </c>
      <c r="D324" s="17" t="str">
        <f>IFERROR(IF(Members!A321="","",Members!D321),"")</f>
        <v/>
      </c>
      <c r="E324" s="17" t="str">
        <f>IF(A324="","",COUNTIF(Completions!A:A,A324))</f>
        <v/>
      </c>
      <c r="F324" s="17" t="str">
        <f>IF(A324="","",SUMPRODUCT((Completions!A$2:A$5000=A324)*IFERROR(VLOOKUP(Completions!B$2:B$5000,$J$4:$K$18,2,FALSE()),0)))</f>
        <v/>
      </c>
      <c r="G324" s="17" t="str">
        <f t="shared" si="4"/>
        <v/>
      </c>
      <c r="H324" s="17" t="str">
        <f>IF(A324="","",IFERROR(TEXT(_xludf.maxifs(Completions!G:G,Completions!A:A,A324),"yyyy-mm-dd hh:mm"),"—"))</f>
        <v/>
      </c>
    </row>
    <row r="325" spans="1:8" ht="21.75" customHeight="1" x14ac:dyDescent="0.2">
      <c r="A325" s="16" t="str">
        <f>IFERROR(IF(Members!A322="","",Members!A322),"")</f>
        <v/>
      </c>
      <c r="B325" s="16" t="str">
        <f>IFERROR(IF(Members!A322="","",Members!B322),"")</f>
        <v/>
      </c>
      <c r="C325" s="16" t="str">
        <f>IFERROR(IF(Members!A322="","",Members!C322),"")</f>
        <v/>
      </c>
      <c r="D325" s="16" t="str">
        <f>IFERROR(IF(Members!A322="","",Members!D322),"")</f>
        <v/>
      </c>
      <c r="E325" s="16" t="str">
        <f>IF(A325="","",COUNTIF(Completions!A:A,A325))</f>
        <v/>
      </c>
      <c r="F325" s="16" t="str">
        <f>IF(A325="","",SUMPRODUCT((Completions!A$2:A$5000=A325)*IFERROR(VLOOKUP(Completions!B$2:B$5000,$J$4:$K$18,2,FALSE()),0)))</f>
        <v/>
      </c>
      <c r="G325" s="16" t="str">
        <f t="shared" ref="G325:G388" si="5">IF(A325="","",IF(F325&gt;=20,"Gold",IF(F325&gt;=14,"Silver",IF(F325&gt;=8,"Bronze","—"))))</f>
        <v/>
      </c>
      <c r="H325" s="16" t="str">
        <f>IF(A325="","",IFERROR(TEXT(_xludf.maxifs(Completions!G:G,Completions!A:A,A325),"yyyy-mm-dd hh:mm"),"—"))</f>
        <v/>
      </c>
    </row>
    <row r="326" spans="1:8" ht="21.75" customHeight="1" x14ac:dyDescent="0.2">
      <c r="A326" s="17" t="str">
        <f>IFERROR(IF(Members!A323="","",Members!A323),"")</f>
        <v/>
      </c>
      <c r="B326" s="17" t="str">
        <f>IFERROR(IF(Members!A323="","",Members!B323),"")</f>
        <v/>
      </c>
      <c r="C326" s="17" t="str">
        <f>IFERROR(IF(Members!A323="","",Members!C323),"")</f>
        <v/>
      </c>
      <c r="D326" s="17" t="str">
        <f>IFERROR(IF(Members!A323="","",Members!D323),"")</f>
        <v/>
      </c>
      <c r="E326" s="17" t="str">
        <f>IF(A326="","",COUNTIF(Completions!A:A,A326))</f>
        <v/>
      </c>
      <c r="F326" s="17" t="str">
        <f>IF(A326="","",SUMPRODUCT((Completions!A$2:A$5000=A326)*IFERROR(VLOOKUP(Completions!B$2:B$5000,$J$4:$K$18,2,FALSE()),0)))</f>
        <v/>
      </c>
      <c r="G326" s="17" t="str">
        <f t="shared" si="5"/>
        <v/>
      </c>
      <c r="H326" s="17" t="str">
        <f>IF(A326="","",IFERROR(TEXT(_xludf.maxifs(Completions!G:G,Completions!A:A,A326),"yyyy-mm-dd hh:mm"),"—"))</f>
        <v/>
      </c>
    </row>
    <row r="327" spans="1:8" ht="21.75" customHeight="1" x14ac:dyDescent="0.2">
      <c r="A327" s="16" t="str">
        <f>IFERROR(IF(Members!A324="","",Members!A324),"")</f>
        <v/>
      </c>
      <c r="B327" s="16" t="str">
        <f>IFERROR(IF(Members!A324="","",Members!B324),"")</f>
        <v/>
      </c>
      <c r="C327" s="16" t="str">
        <f>IFERROR(IF(Members!A324="","",Members!C324),"")</f>
        <v/>
      </c>
      <c r="D327" s="16" t="str">
        <f>IFERROR(IF(Members!A324="","",Members!D324),"")</f>
        <v/>
      </c>
      <c r="E327" s="16" t="str">
        <f>IF(A327="","",COUNTIF(Completions!A:A,A327))</f>
        <v/>
      </c>
      <c r="F327" s="16" t="str">
        <f>IF(A327="","",SUMPRODUCT((Completions!A$2:A$5000=A327)*IFERROR(VLOOKUP(Completions!B$2:B$5000,$J$4:$K$18,2,FALSE()),0)))</f>
        <v/>
      </c>
      <c r="G327" s="16" t="str">
        <f t="shared" si="5"/>
        <v/>
      </c>
      <c r="H327" s="16" t="str">
        <f>IF(A327="","",IFERROR(TEXT(_xludf.maxifs(Completions!G:G,Completions!A:A,A327),"yyyy-mm-dd hh:mm"),"—"))</f>
        <v/>
      </c>
    </row>
    <row r="328" spans="1:8" ht="21.75" customHeight="1" x14ac:dyDescent="0.2">
      <c r="A328" s="17" t="str">
        <f>IFERROR(IF(Members!A325="","",Members!A325),"")</f>
        <v/>
      </c>
      <c r="B328" s="17" t="str">
        <f>IFERROR(IF(Members!A325="","",Members!B325),"")</f>
        <v/>
      </c>
      <c r="C328" s="17" t="str">
        <f>IFERROR(IF(Members!A325="","",Members!C325),"")</f>
        <v/>
      </c>
      <c r="D328" s="17" t="str">
        <f>IFERROR(IF(Members!A325="","",Members!D325),"")</f>
        <v/>
      </c>
      <c r="E328" s="17" t="str">
        <f>IF(A328="","",COUNTIF(Completions!A:A,A328))</f>
        <v/>
      </c>
      <c r="F328" s="17" t="str">
        <f>IF(A328="","",SUMPRODUCT((Completions!A$2:A$5000=A328)*IFERROR(VLOOKUP(Completions!B$2:B$5000,$J$4:$K$18,2,FALSE()),0)))</f>
        <v/>
      </c>
      <c r="G328" s="17" t="str">
        <f t="shared" si="5"/>
        <v/>
      </c>
      <c r="H328" s="17" t="str">
        <f>IF(A328="","",IFERROR(TEXT(_xludf.maxifs(Completions!G:G,Completions!A:A,A328),"yyyy-mm-dd hh:mm"),"—"))</f>
        <v/>
      </c>
    </row>
    <row r="329" spans="1:8" ht="21.75" customHeight="1" x14ac:dyDescent="0.2">
      <c r="A329" s="16" t="str">
        <f>IFERROR(IF(Members!A326="","",Members!A326),"")</f>
        <v/>
      </c>
      <c r="B329" s="16" t="str">
        <f>IFERROR(IF(Members!A326="","",Members!B326),"")</f>
        <v/>
      </c>
      <c r="C329" s="16" t="str">
        <f>IFERROR(IF(Members!A326="","",Members!C326),"")</f>
        <v/>
      </c>
      <c r="D329" s="16" t="str">
        <f>IFERROR(IF(Members!A326="","",Members!D326),"")</f>
        <v/>
      </c>
      <c r="E329" s="16" t="str">
        <f>IF(A329="","",COUNTIF(Completions!A:A,A329))</f>
        <v/>
      </c>
      <c r="F329" s="16" t="str">
        <f>IF(A329="","",SUMPRODUCT((Completions!A$2:A$5000=A329)*IFERROR(VLOOKUP(Completions!B$2:B$5000,$J$4:$K$18,2,FALSE()),0)))</f>
        <v/>
      </c>
      <c r="G329" s="16" t="str">
        <f t="shared" si="5"/>
        <v/>
      </c>
      <c r="H329" s="16" t="str">
        <f>IF(A329="","",IFERROR(TEXT(_xludf.maxifs(Completions!G:G,Completions!A:A,A329),"yyyy-mm-dd hh:mm"),"—"))</f>
        <v/>
      </c>
    </row>
    <row r="330" spans="1:8" ht="21.75" customHeight="1" x14ac:dyDescent="0.2">
      <c r="A330" s="17" t="str">
        <f>IFERROR(IF(Members!A327="","",Members!A327),"")</f>
        <v/>
      </c>
      <c r="B330" s="17" t="str">
        <f>IFERROR(IF(Members!A327="","",Members!B327),"")</f>
        <v/>
      </c>
      <c r="C330" s="17" t="str">
        <f>IFERROR(IF(Members!A327="","",Members!C327),"")</f>
        <v/>
      </c>
      <c r="D330" s="17" t="str">
        <f>IFERROR(IF(Members!A327="","",Members!D327),"")</f>
        <v/>
      </c>
      <c r="E330" s="17" t="str">
        <f>IF(A330="","",COUNTIF(Completions!A:A,A330))</f>
        <v/>
      </c>
      <c r="F330" s="17" t="str">
        <f>IF(A330="","",SUMPRODUCT((Completions!A$2:A$5000=A330)*IFERROR(VLOOKUP(Completions!B$2:B$5000,$J$4:$K$18,2,FALSE()),0)))</f>
        <v/>
      </c>
      <c r="G330" s="17" t="str">
        <f t="shared" si="5"/>
        <v/>
      </c>
      <c r="H330" s="17" t="str">
        <f>IF(A330="","",IFERROR(TEXT(_xludf.maxifs(Completions!G:G,Completions!A:A,A330),"yyyy-mm-dd hh:mm"),"—"))</f>
        <v/>
      </c>
    </row>
    <row r="331" spans="1:8" ht="21.75" customHeight="1" x14ac:dyDescent="0.2">
      <c r="A331" s="16" t="str">
        <f>IFERROR(IF(Members!A328="","",Members!A328),"")</f>
        <v/>
      </c>
      <c r="B331" s="16" t="str">
        <f>IFERROR(IF(Members!A328="","",Members!B328),"")</f>
        <v/>
      </c>
      <c r="C331" s="16" t="str">
        <f>IFERROR(IF(Members!A328="","",Members!C328),"")</f>
        <v/>
      </c>
      <c r="D331" s="16" t="str">
        <f>IFERROR(IF(Members!A328="","",Members!D328),"")</f>
        <v/>
      </c>
      <c r="E331" s="16" t="str">
        <f>IF(A331="","",COUNTIF(Completions!A:A,A331))</f>
        <v/>
      </c>
      <c r="F331" s="16" t="str">
        <f>IF(A331="","",SUMPRODUCT((Completions!A$2:A$5000=A331)*IFERROR(VLOOKUP(Completions!B$2:B$5000,$J$4:$K$18,2,FALSE()),0)))</f>
        <v/>
      </c>
      <c r="G331" s="16" t="str">
        <f t="shared" si="5"/>
        <v/>
      </c>
      <c r="H331" s="16" t="str">
        <f>IF(A331="","",IFERROR(TEXT(_xludf.maxifs(Completions!G:G,Completions!A:A,A331),"yyyy-mm-dd hh:mm"),"—"))</f>
        <v/>
      </c>
    </row>
    <row r="332" spans="1:8" ht="21.75" customHeight="1" x14ac:dyDescent="0.2">
      <c r="A332" s="17" t="str">
        <f>IFERROR(IF(Members!A329="","",Members!A329),"")</f>
        <v/>
      </c>
      <c r="B332" s="17" t="str">
        <f>IFERROR(IF(Members!A329="","",Members!B329),"")</f>
        <v/>
      </c>
      <c r="C332" s="17" t="str">
        <f>IFERROR(IF(Members!A329="","",Members!C329),"")</f>
        <v/>
      </c>
      <c r="D332" s="17" t="str">
        <f>IFERROR(IF(Members!A329="","",Members!D329),"")</f>
        <v/>
      </c>
      <c r="E332" s="17" t="str">
        <f>IF(A332="","",COUNTIF(Completions!A:A,A332))</f>
        <v/>
      </c>
      <c r="F332" s="17" t="str">
        <f>IF(A332="","",SUMPRODUCT((Completions!A$2:A$5000=A332)*IFERROR(VLOOKUP(Completions!B$2:B$5000,$J$4:$K$18,2,FALSE()),0)))</f>
        <v/>
      </c>
      <c r="G332" s="17" t="str">
        <f t="shared" si="5"/>
        <v/>
      </c>
      <c r="H332" s="17" t="str">
        <f>IF(A332="","",IFERROR(TEXT(_xludf.maxifs(Completions!G:G,Completions!A:A,A332),"yyyy-mm-dd hh:mm"),"—"))</f>
        <v/>
      </c>
    </row>
    <row r="333" spans="1:8" ht="21.75" customHeight="1" x14ac:dyDescent="0.2">
      <c r="A333" s="16" t="str">
        <f>IFERROR(IF(Members!A330="","",Members!A330),"")</f>
        <v/>
      </c>
      <c r="B333" s="16" t="str">
        <f>IFERROR(IF(Members!A330="","",Members!B330),"")</f>
        <v/>
      </c>
      <c r="C333" s="16" t="str">
        <f>IFERROR(IF(Members!A330="","",Members!C330),"")</f>
        <v/>
      </c>
      <c r="D333" s="16" t="str">
        <f>IFERROR(IF(Members!A330="","",Members!D330),"")</f>
        <v/>
      </c>
      <c r="E333" s="16" t="str">
        <f>IF(A333="","",COUNTIF(Completions!A:A,A333))</f>
        <v/>
      </c>
      <c r="F333" s="16" t="str">
        <f>IF(A333="","",SUMPRODUCT((Completions!A$2:A$5000=A333)*IFERROR(VLOOKUP(Completions!B$2:B$5000,$J$4:$K$18,2,FALSE()),0)))</f>
        <v/>
      </c>
      <c r="G333" s="16" t="str">
        <f t="shared" si="5"/>
        <v/>
      </c>
      <c r="H333" s="16" t="str">
        <f>IF(A333="","",IFERROR(TEXT(_xludf.maxifs(Completions!G:G,Completions!A:A,A333),"yyyy-mm-dd hh:mm"),"—"))</f>
        <v/>
      </c>
    </row>
    <row r="334" spans="1:8" ht="21.75" customHeight="1" x14ac:dyDescent="0.2">
      <c r="A334" s="17" t="str">
        <f>IFERROR(IF(Members!A331="","",Members!A331),"")</f>
        <v/>
      </c>
      <c r="B334" s="17" t="str">
        <f>IFERROR(IF(Members!A331="","",Members!B331),"")</f>
        <v/>
      </c>
      <c r="C334" s="17" t="str">
        <f>IFERROR(IF(Members!A331="","",Members!C331),"")</f>
        <v/>
      </c>
      <c r="D334" s="17" t="str">
        <f>IFERROR(IF(Members!A331="","",Members!D331),"")</f>
        <v/>
      </c>
      <c r="E334" s="17" t="str">
        <f>IF(A334="","",COUNTIF(Completions!A:A,A334))</f>
        <v/>
      </c>
      <c r="F334" s="17" t="str">
        <f>IF(A334="","",SUMPRODUCT((Completions!A$2:A$5000=A334)*IFERROR(VLOOKUP(Completions!B$2:B$5000,$J$4:$K$18,2,FALSE()),0)))</f>
        <v/>
      </c>
      <c r="G334" s="17" t="str">
        <f t="shared" si="5"/>
        <v/>
      </c>
      <c r="H334" s="17" t="str">
        <f>IF(A334="","",IFERROR(TEXT(_xludf.maxifs(Completions!G:G,Completions!A:A,A334),"yyyy-mm-dd hh:mm"),"—"))</f>
        <v/>
      </c>
    </row>
    <row r="335" spans="1:8" ht="21.75" customHeight="1" x14ac:dyDescent="0.2">
      <c r="A335" s="16" t="str">
        <f>IFERROR(IF(Members!A332="","",Members!A332),"")</f>
        <v/>
      </c>
      <c r="B335" s="16" t="str">
        <f>IFERROR(IF(Members!A332="","",Members!B332),"")</f>
        <v/>
      </c>
      <c r="C335" s="16" t="str">
        <f>IFERROR(IF(Members!A332="","",Members!C332),"")</f>
        <v/>
      </c>
      <c r="D335" s="16" t="str">
        <f>IFERROR(IF(Members!A332="","",Members!D332),"")</f>
        <v/>
      </c>
      <c r="E335" s="16" t="str">
        <f>IF(A335="","",COUNTIF(Completions!A:A,A335))</f>
        <v/>
      </c>
      <c r="F335" s="16" t="str">
        <f>IF(A335="","",SUMPRODUCT((Completions!A$2:A$5000=A335)*IFERROR(VLOOKUP(Completions!B$2:B$5000,$J$4:$K$18,2,FALSE()),0)))</f>
        <v/>
      </c>
      <c r="G335" s="16" t="str">
        <f t="shared" si="5"/>
        <v/>
      </c>
      <c r="H335" s="16" t="str">
        <f>IF(A335="","",IFERROR(TEXT(_xludf.maxifs(Completions!G:G,Completions!A:A,A335),"yyyy-mm-dd hh:mm"),"—"))</f>
        <v/>
      </c>
    </row>
    <row r="336" spans="1:8" ht="21.75" customHeight="1" x14ac:dyDescent="0.2">
      <c r="A336" s="17" t="str">
        <f>IFERROR(IF(Members!A333="","",Members!A333),"")</f>
        <v/>
      </c>
      <c r="B336" s="17" t="str">
        <f>IFERROR(IF(Members!A333="","",Members!B333),"")</f>
        <v/>
      </c>
      <c r="C336" s="17" t="str">
        <f>IFERROR(IF(Members!A333="","",Members!C333),"")</f>
        <v/>
      </c>
      <c r="D336" s="17" t="str">
        <f>IFERROR(IF(Members!A333="","",Members!D333),"")</f>
        <v/>
      </c>
      <c r="E336" s="17" t="str">
        <f>IF(A336="","",COUNTIF(Completions!A:A,A336))</f>
        <v/>
      </c>
      <c r="F336" s="17" t="str">
        <f>IF(A336="","",SUMPRODUCT((Completions!A$2:A$5000=A336)*IFERROR(VLOOKUP(Completions!B$2:B$5000,$J$4:$K$18,2,FALSE()),0)))</f>
        <v/>
      </c>
      <c r="G336" s="17" t="str">
        <f t="shared" si="5"/>
        <v/>
      </c>
      <c r="H336" s="17" t="str">
        <f>IF(A336="","",IFERROR(TEXT(_xludf.maxifs(Completions!G:G,Completions!A:A,A336),"yyyy-mm-dd hh:mm"),"—"))</f>
        <v/>
      </c>
    </row>
    <row r="337" spans="1:8" ht="21.75" customHeight="1" x14ac:dyDescent="0.2">
      <c r="A337" s="16" t="str">
        <f>IFERROR(IF(Members!A334="","",Members!A334),"")</f>
        <v/>
      </c>
      <c r="B337" s="16" t="str">
        <f>IFERROR(IF(Members!A334="","",Members!B334),"")</f>
        <v/>
      </c>
      <c r="C337" s="16" t="str">
        <f>IFERROR(IF(Members!A334="","",Members!C334),"")</f>
        <v/>
      </c>
      <c r="D337" s="16" t="str">
        <f>IFERROR(IF(Members!A334="","",Members!D334),"")</f>
        <v/>
      </c>
      <c r="E337" s="16" t="str">
        <f>IF(A337="","",COUNTIF(Completions!A:A,A337))</f>
        <v/>
      </c>
      <c r="F337" s="16" t="str">
        <f>IF(A337="","",SUMPRODUCT((Completions!A$2:A$5000=A337)*IFERROR(VLOOKUP(Completions!B$2:B$5000,$J$4:$K$18,2,FALSE()),0)))</f>
        <v/>
      </c>
      <c r="G337" s="16" t="str">
        <f t="shared" si="5"/>
        <v/>
      </c>
      <c r="H337" s="16" t="str">
        <f>IF(A337="","",IFERROR(TEXT(_xludf.maxifs(Completions!G:G,Completions!A:A,A337),"yyyy-mm-dd hh:mm"),"—"))</f>
        <v/>
      </c>
    </row>
    <row r="338" spans="1:8" ht="21.75" customHeight="1" x14ac:dyDescent="0.2">
      <c r="A338" s="17" t="str">
        <f>IFERROR(IF(Members!A335="","",Members!A335),"")</f>
        <v/>
      </c>
      <c r="B338" s="17" t="str">
        <f>IFERROR(IF(Members!A335="","",Members!B335),"")</f>
        <v/>
      </c>
      <c r="C338" s="17" t="str">
        <f>IFERROR(IF(Members!A335="","",Members!C335),"")</f>
        <v/>
      </c>
      <c r="D338" s="17" t="str">
        <f>IFERROR(IF(Members!A335="","",Members!D335),"")</f>
        <v/>
      </c>
      <c r="E338" s="17" t="str">
        <f>IF(A338="","",COUNTIF(Completions!A:A,A338))</f>
        <v/>
      </c>
      <c r="F338" s="17" t="str">
        <f>IF(A338="","",SUMPRODUCT((Completions!A$2:A$5000=A338)*IFERROR(VLOOKUP(Completions!B$2:B$5000,$J$4:$K$18,2,FALSE()),0)))</f>
        <v/>
      </c>
      <c r="G338" s="17" t="str">
        <f t="shared" si="5"/>
        <v/>
      </c>
      <c r="H338" s="17" t="str">
        <f>IF(A338="","",IFERROR(TEXT(_xludf.maxifs(Completions!G:G,Completions!A:A,A338),"yyyy-mm-dd hh:mm"),"—"))</f>
        <v/>
      </c>
    </row>
    <row r="339" spans="1:8" ht="21.75" customHeight="1" x14ac:dyDescent="0.2">
      <c r="A339" s="16" t="str">
        <f>IFERROR(IF(Members!A336="","",Members!A336),"")</f>
        <v/>
      </c>
      <c r="B339" s="16" t="str">
        <f>IFERROR(IF(Members!A336="","",Members!B336),"")</f>
        <v/>
      </c>
      <c r="C339" s="16" t="str">
        <f>IFERROR(IF(Members!A336="","",Members!C336),"")</f>
        <v/>
      </c>
      <c r="D339" s="16" t="str">
        <f>IFERROR(IF(Members!A336="","",Members!D336),"")</f>
        <v/>
      </c>
      <c r="E339" s="16" t="str">
        <f>IF(A339="","",COUNTIF(Completions!A:A,A339))</f>
        <v/>
      </c>
      <c r="F339" s="16" t="str">
        <f>IF(A339="","",SUMPRODUCT((Completions!A$2:A$5000=A339)*IFERROR(VLOOKUP(Completions!B$2:B$5000,$J$4:$K$18,2,FALSE()),0)))</f>
        <v/>
      </c>
      <c r="G339" s="16" t="str">
        <f t="shared" si="5"/>
        <v/>
      </c>
      <c r="H339" s="16" t="str">
        <f>IF(A339="","",IFERROR(TEXT(_xludf.maxifs(Completions!G:G,Completions!A:A,A339),"yyyy-mm-dd hh:mm"),"—"))</f>
        <v/>
      </c>
    </row>
    <row r="340" spans="1:8" ht="21.75" customHeight="1" x14ac:dyDescent="0.2">
      <c r="A340" s="17" t="str">
        <f>IFERROR(IF(Members!A337="","",Members!A337),"")</f>
        <v/>
      </c>
      <c r="B340" s="17" t="str">
        <f>IFERROR(IF(Members!A337="","",Members!B337),"")</f>
        <v/>
      </c>
      <c r="C340" s="17" t="str">
        <f>IFERROR(IF(Members!A337="","",Members!C337),"")</f>
        <v/>
      </c>
      <c r="D340" s="17" t="str">
        <f>IFERROR(IF(Members!A337="","",Members!D337),"")</f>
        <v/>
      </c>
      <c r="E340" s="17" t="str">
        <f>IF(A340="","",COUNTIF(Completions!A:A,A340))</f>
        <v/>
      </c>
      <c r="F340" s="17" t="str">
        <f>IF(A340="","",SUMPRODUCT((Completions!A$2:A$5000=A340)*IFERROR(VLOOKUP(Completions!B$2:B$5000,$J$4:$K$18,2,FALSE()),0)))</f>
        <v/>
      </c>
      <c r="G340" s="17" t="str">
        <f t="shared" si="5"/>
        <v/>
      </c>
      <c r="H340" s="17" t="str">
        <f>IF(A340="","",IFERROR(TEXT(_xludf.maxifs(Completions!G:G,Completions!A:A,A340),"yyyy-mm-dd hh:mm"),"—"))</f>
        <v/>
      </c>
    </row>
    <row r="341" spans="1:8" ht="21.75" customHeight="1" x14ac:dyDescent="0.2">
      <c r="A341" s="16" t="str">
        <f>IFERROR(IF(Members!A338="","",Members!A338),"")</f>
        <v/>
      </c>
      <c r="B341" s="16" t="str">
        <f>IFERROR(IF(Members!A338="","",Members!B338),"")</f>
        <v/>
      </c>
      <c r="C341" s="16" t="str">
        <f>IFERROR(IF(Members!A338="","",Members!C338),"")</f>
        <v/>
      </c>
      <c r="D341" s="16" t="str">
        <f>IFERROR(IF(Members!A338="","",Members!D338),"")</f>
        <v/>
      </c>
      <c r="E341" s="16" t="str">
        <f>IF(A341="","",COUNTIF(Completions!A:A,A341))</f>
        <v/>
      </c>
      <c r="F341" s="16" t="str">
        <f>IF(A341="","",SUMPRODUCT((Completions!A$2:A$5000=A341)*IFERROR(VLOOKUP(Completions!B$2:B$5000,$J$4:$K$18,2,FALSE()),0)))</f>
        <v/>
      </c>
      <c r="G341" s="16" t="str">
        <f t="shared" si="5"/>
        <v/>
      </c>
      <c r="H341" s="16" t="str">
        <f>IF(A341="","",IFERROR(TEXT(_xludf.maxifs(Completions!G:G,Completions!A:A,A341),"yyyy-mm-dd hh:mm"),"—"))</f>
        <v/>
      </c>
    </row>
    <row r="342" spans="1:8" ht="21.75" customHeight="1" x14ac:dyDescent="0.2">
      <c r="A342" s="17" t="str">
        <f>IFERROR(IF(Members!A339="","",Members!A339),"")</f>
        <v/>
      </c>
      <c r="B342" s="17" t="str">
        <f>IFERROR(IF(Members!A339="","",Members!B339),"")</f>
        <v/>
      </c>
      <c r="C342" s="17" t="str">
        <f>IFERROR(IF(Members!A339="","",Members!C339),"")</f>
        <v/>
      </c>
      <c r="D342" s="17" t="str">
        <f>IFERROR(IF(Members!A339="","",Members!D339),"")</f>
        <v/>
      </c>
      <c r="E342" s="17" t="str">
        <f>IF(A342="","",COUNTIF(Completions!A:A,A342))</f>
        <v/>
      </c>
      <c r="F342" s="17" t="str">
        <f>IF(A342="","",SUMPRODUCT((Completions!A$2:A$5000=A342)*IFERROR(VLOOKUP(Completions!B$2:B$5000,$J$4:$K$18,2,FALSE()),0)))</f>
        <v/>
      </c>
      <c r="G342" s="17" t="str">
        <f t="shared" si="5"/>
        <v/>
      </c>
      <c r="H342" s="17" t="str">
        <f>IF(A342="","",IFERROR(TEXT(_xludf.maxifs(Completions!G:G,Completions!A:A,A342),"yyyy-mm-dd hh:mm"),"—"))</f>
        <v/>
      </c>
    </row>
    <row r="343" spans="1:8" ht="21.75" customHeight="1" x14ac:dyDescent="0.2">
      <c r="A343" s="16" t="str">
        <f>IFERROR(IF(Members!A340="","",Members!A340),"")</f>
        <v/>
      </c>
      <c r="B343" s="16" t="str">
        <f>IFERROR(IF(Members!A340="","",Members!B340),"")</f>
        <v/>
      </c>
      <c r="C343" s="16" t="str">
        <f>IFERROR(IF(Members!A340="","",Members!C340),"")</f>
        <v/>
      </c>
      <c r="D343" s="16" t="str">
        <f>IFERROR(IF(Members!A340="","",Members!D340),"")</f>
        <v/>
      </c>
      <c r="E343" s="16" t="str">
        <f>IF(A343="","",COUNTIF(Completions!A:A,A343))</f>
        <v/>
      </c>
      <c r="F343" s="16" t="str">
        <f>IF(A343="","",SUMPRODUCT((Completions!A$2:A$5000=A343)*IFERROR(VLOOKUP(Completions!B$2:B$5000,$J$4:$K$18,2,FALSE()),0)))</f>
        <v/>
      </c>
      <c r="G343" s="16" t="str">
        <f t="shared" si="5"/>
        <v/>
      </c>
      <c r="H343" s="16" t="str">
        <f>IF(A343="","",IFERROR(TEXT(_xludf.maxifs(Completions!G:G,Completions!A:A,A343),"yyyy-mm-dd hh:mm"),"—"))</f>
        <v/>
      </c>
    </row>
    <row r="344" spans="1:8" ht="21.75" customHeight="1" x14ac:dyDescent="0.2">
      <c r="A344" s="17" t="str">
        <f>IFERROR(IF(Members!A341="","",Members!A341),"")</f>
        <v/>
      </c>
      <c r="B344" s="17" t="str">
        <f>IFERROR(IF(Members!A341="","",Members!B341),"")</f>
        <v/>
      </c>
      <c r="C344" s="17" t="str">
        <f>IFERROR(IF(Members!A341="","",Members!C341),"")</f>
        <v/>
      </c>
      <c r="D344" s="17" t="str">
        <f>IFERROR(IF(Members!A341="","",Members!D341),"")</f>
        <v/>
      </c>
      <c r="E344" s="17" t="str">
        <f>IF(A344="","",COUNTIF(Completions!A:A,A344))</f>
        <v/>
      </c>
      <c r="F344" s="17" t="str">
        <f>IF(A344="","",SUMPRODUCT((Completions!A$2:A$5000=A344)*IFERROR(VLOOKUP(Completions!B$2:B$5000,$J$4:$K$18,2,FALSE()),0)))</f>
        <v/>
      </c>
      <c r="G344" s="17" t="str">
        <f t="shared" si="5"/>
        <v/>
      </c>
      <c r="H344" s="17" t="str">
        <f>IF(A344="","",IFERROR(TEXT(_xludf.maxifs(Completions!G:G,Completions!A:A,A344),"yyyy-mm-dd hh:mm"),"—"))</f>
        <v/>
      </c>
    </row>
    <row r="345" spans="1:8" ht="21.75" customHeight="1" x14ac:dyDescent="0.2">
      <c r="A345" s="16" t="str">
        <f>IFERROR(IF(Members!A342="","",Members!A342),"")</f>
        <v/>
      </c>
      <c r="B345" s="16" t="str">
        <f>IFERROR(IF(Members!A342="","",Members!B342),"")</f>
        <v/>
      </c>
      <c r="C345" s="16" t="str">
        <f>IFERROR(IF(Members!A342="","",Members!C342),"")</f>
        <v/>
      </c>
      <c r="D345" s="16" t="str">
        <f>IFERROR(IF(Members!A342="","",Members!D342),"")</f>
        <v/>
      </c>
      <c r="E345" s="16" t="str">
        <f>IF(A345="","",COUNTIF(Completions!A:A,A345))</f>
        <v/>
      </c>
      <c r="F345" s="16" t="str">
        <f>IF(A345="","",SUMPRODUCT((Completions!A$2:A$5000=A345)*IFERROR(VLOOKUP(Completions!B$2:B$5000,$J$4:$K$18,2,FALSE()),0)))</f>
        <v/>
      </c>
      <c r="G345" s="16" t="str">
        <f t="shared" si="5"/>
        <v/>
      </c>
      <c r="H345" s="16" t="str">
        <f>IF(A345="","",IFERROR(TEXT(_xludf.maxifs(Completions!G:G,Completions!A:A,A345),"yyyy-mm-dd hh:mm"),"—"))</f>
        <v/>
      </c>
    </row>
    <row r="346" spans="1:8" ht="21.75" customHeight="1" x14ac:dyDescent="0.2">
      <c r="A346" s="17" t="str">
        <f>IFERROR(IF(Members!A343="","",Members!A343),"")</f>
        <v/>
      </c>
      <c r="B346" s="17" t="str">
        <f>IFERROR(IF(Members!A343="","",Members!B343),"")</f>
        <v/>
      </c>
      <c r="C346" s="17" t="str">
        <f>IFERROR(IF(Members!A343="","",Members!C343),"")</f>
        <v/>
      </c>
      <c r="D346" s="17" t="str">
        <f>IFERROR(IF(Members!A343="","",Members!D343),"")</f>
        <v/>
      </c>
      <c r="E346" s="17" t="str">
        <f>IF(A346="","",COUNTIF(Completions!A:A,A346))</f>
        <v/>
      </c>
      <c r="F346" s="17" t="str">
        <f>IF(A346="","",SUMPRODUCT((Completions!A$2:A$5000=A346)*IFERROR(VLOOKUP(Completions!B$2:B$5000,$J$4:$K$18,2,FALSE()),0)))</f>
        <v/>
      </c>
      <c r="G346" s="17" t="str">
        <f t="shared" si="5"/>
        <v/>
      </c>
      <c r="H346" s="17" t="str">
        <f>IF(A346="","",IFERROR(TEXT(_xludf.maxifs(Completions!G:G,Completions!A:A,A346),"yyyy-mm-dd hh:mm"),"—"))</f>
        <v/>
      </c>
    </row>
    <row r="347" spans="1:8" ht="21.75" customHeight="1" x14ac:dyDescent="0.2">
      <c r="A347" s="16" t="str">
        <f>IFERROR(IF(Members!A344="","",Members!A344),"")</f>
        <v/>
      </c>
      <c r="B347" s="16" t="str">
        <f>IFERROR(IF(Members!A344="","",Members!B344),"")</f>
        <v/>
      </c>
      <c r="C347" s="16" t="str">
        <f>IFERROR(IF(Members!A344="","",Members!C344),"")</f>
        <v/>
      </c>
      <c r="D347" s="16" t="str">
        <f>IFERROR(IF(Members!A344="","",Members!D344),"")</f>
        <v/>
      </c>
      <c r="E347" s="16" t="str">
        <f>IF(A347="","",COUNTIF(Completions!A:A,A347))</f>
        <v/>
      </c>
      <c r="F347" s="16" t="str">
        <f>IF(A347="","",SUMPRODUCT((Completions!A$2:A$5000=A347)*IFERROR(VLOOKUP(Completions!B$2:B$5000,$J$4:$K$18,2,FALSE()),0)))</f>
        <v/>
      </c>
      <c r="G347" s="16" t="str">
        <f t="shared" si="5"/>
        <v/>
      </c>
      <c r="H347" s="16" t="str">
        <f>IF(A347="","",IFERROR(TEXT(_xludf.maxifs(Completions!G:G,Completions!A:A,A347),"yyyy-mm-dd hh:mm"),"—"))</f>
        <v/>
      </c>
    </row>
    <row r="348" spans="1:8" ht="21.75" customHeight="1" x14ac:dyDescent="0.2">
      <c r="A348" s="17" t="str">
        <f>IFERROR(IF(Members!A345="","",Members!A345),"")</f>
        <v/>
      </c>
      <c r="B348" s="17" t="str">
        <f>IFERROR(IF(Members!A345="","",Members!B345),"")</f>
        <v/>
      </c>
      <c r="C348" s="17" t="str">
        <f>IFERROR(IF(Members!A345="","",Members!C345),"")</f>
        <v/>
      </c>
      <c r="D348" s="17" t="str">
        <f>IFERROR(IF(Members!A345="","",Members!D345),"")</f>
        <v/>
      </c>
      <c r="E348" s="17" t="str">
        <f>IF(A348="","",COUNTIF(Completions!A:A,A348))</f>
        <v/>
      </c>
      <c r="F348" s="17" t="str">
        <f>IF(A348="","",SUMPRODUCT((Completions!A$2:A$5000=A348)*IFERROR(VLOOKUP(Completions!B$2:B$5000,$J$4:$K$18,2,FALSE()),0)))</f>
        <v/>
      </c>
      <c r="G348" s="17" t="str">
        <f t="shared" si="5"/>
        <v/>
      </c>
      <c r="H348" s="17" t="str">
        <f>IF(A348="","",IFERROR(TEXT(_xludf.maxifs(Completions!G:G,Completions!A:A,A348),"yyyy-mm-dd hh:mm"),"—"))</f>
        <v/>
      </c>
    </row>
    <row r="349" spans="1:8" ht="21.75" customHeight="1" x14ac:dyDescent="0.2">
      <c r="A349" s="16" t="str">
        <f>IFERROR(IF(Members!A346="","",Members!A346),"")</f>
        <v/>
      </c>
      <c r="B349" s="16" t="str">
        <f>IFERROR(IF(Members!A346="","",Members!B346),"")</f>
        <v/>
      </c>
      <c r="C349" s="16" t="str">
        <f>IFERROR(IF(Members!A346="","",Members!C346),"")</f>
        <v/>
      </c>
      <c r="D349" s="16" t="str">
        <f>IFERROR(IF(Members!A346="","",Members!D346),"")</f>
        <v/>
      </c>
      <c r="E349" s="16" t="str">
        <f>IF(A349="","",COUNTIF(Completions!A:A,A349))</f>
        <v/>
      </c>
      <c r="F349" s="16" t="str">
        <f>IF(A349="","",SUMPRODUCT((Completions!A$2:A$5000=A349)*IFERROR(VLOOKUP(Completions!B$2:B$5000,$J$4:$K$18,2,FALSE()),0)))</f>
        <v/>
      </c>
      <c r="G349" s="16" t="str">
        <f t="shared" si="5"/>
        <v/>
      </c>
      <c r="H349" s="16" t="str">
        <f>IF(A349="","",IFERROR(TEXT(_xludf.maxifs(Completions!G:G,Completions!A:A,A349),"yyyy-mm-dd hh:mm"),"—"))</f>
        <v/>
      </c>
    </row>
    <row r="350" spans="1:8" ht="21.75" customHeight="1" x14ac:dyDescent="0.2">
      <c r="A350" s="17" t="str">
        <f>IFERROR(IF(Members!A347="","",Members!A347),"")</f>
        <v/>
      </c>
      <c r="B350" s="17" t="str">
        <f>IFERROR(IF(Members!A347="","",Members!B347),"")</f>
        <v/>
      </c>
      <c r="C350" s="17" t="str">
        <f>IFERROR(IF(Members!A347="","",Members!C347),"")</f>
        <v/>
      </c>
      <c r="D350" s="17" t="str">
        <f>IFERROR(IF(Members!A347="","",Members!D347),"")</f>
        <v/>
      </c>
      <c r="E350" s="17" t="str">
        <f>IF(A350="","",COUNTIF(Completions!A:A,A350))</f>
        <v/>
      </c>
      <c r="F350" s="17" t="str">
        <f>IF(A350="","",SUMPRODUCT((Completions!A$2:A$5000=A350)*IFERROR(VLOOKUP(Completions!B$2:B$5000,$J$4:$K$18,2,FALSE()),0)))</f>
        <v/>
      </c>
      <c r="G350" s="17" t="str">
        <f t="shared" si="5"/>
        <v/>
      </c>
      <c r="H350" s="17" t="str">
        <f>IF(A350="","",IFERROR(TEXT(_xludf.maxifs(Completions!G:G,Completions!A:A,A350),"yyyy-mm-dd hh:mm"),"—"))</f>
        <v/>
      </c>
    </row>
    <row r="351" spans="1:8" ht="21.75" customHeight="1" x14ac:dyDescent="0.2">
      <c r="A351" s="16" t="str">
        <f>IFERROR(IF(Members!A348="","",Members!A348),"")</f>
        <v/>
      </c>
      <c r="B351" s="16" t="str">
        <f>IFERROR(IF(Members!A348="","",Members!B348),"")</f>
        <v/>
      </c>
      <c r="C351" s="16" t="str">
        <f>IFERROR(IF(Members!A348="","",Members!C348),"")</f>
        <v/>
      </c>
      <c r="D351" s="16" t="str">
        <f>IFERROR(IF(Members!A348="","",Members!D348),"")</f>
        <v/>
      </c>
      <c r="E351" s="16" t="str">
        <f>IF(A351="","",COUNTIF(Completions!A:A,A351))</f>
        <v/>
      </c>
      <c r="F351" s="16" t="str">
        <f>IF(A351="","",SUMPRODUCT((Completions!A$2:A$5000=A351)*IFERROR(VLOOKUP(Completions!B$2:B$5000,$J$4:$K$18,2,FALSE()),0)))</f>
        <v/>
      </c>
      <c r="G351" s="16" t="str">
        <f t="shared" si="5"/>
        <v/>
      </c>
      <c r="H351" s="16" t="str">
        <f>IF(A351="","",IFERROR(TEXT(_xludf.maxifs(Completions!G:G,Completions!A:A,A351),"yyyy-mm-dd hh:mm"),"—"))</f>
        <v/>
      </c>
    </row>
    <row r="352" spans="1:8" ht="21.75" customHeight="1" x14ac:dyDescent="0.2">
      <c r="A352" s="17" t="str">
        <f>IFERROR(IF(Members!A349="","",Members!A349),"")</f>
        <v/>
      </c>
      <c r="B352" s="17" t="str">
        <f>IFERROR(IF(Members!A349="","",Members!B349),"")</f>
        <v/>
      </c>
      <c r="C352" s="17" t="str">
        <f>IFERROR(IF(Members!A349="","",Members!C349),"")</f>
        <v/>
      </c>
      <c r="D352" s="17" t="str">
        <f>IFERROR(IF(Members!A349="","",Members!D349),"")</f>
        <v/>
      </c>
      <c r="E352" s="17" t="str">
        <f>IF(A352="","",COUNTIF(Completions!A:A,A352))</f>
        <v/>
      </c>
      <c r="F352" s="17" t="str">
        <f>IF(A352="","",SUMPRODUCT((Completions!A$2:A$5000=A352)*IFERROR(VLOOKUP(Completions!B$2:B$5000,$J$4:$K$18,2,FALSE()),0)))</f>
        <v/>
      </c>
      <c r="G352" s="17" t="str">
        <f t="shared" si="5"/>
        <v/>
      </c>
      <c r="H352" s="17" t="str">
        <f>IF(A352="","",IFERROR(TEXT(_xludf.maxifs(Completions!G:G,Completions!A:A,A352),"yyyy-mm-dd hh:mm"),"—"))</f>
        <v/>
      </c>
    </row>
    <row r="353" spans="1:8" ht="21.75" customHeight="1" x14ac:dyDescent="0.2">
      <c r="A353" s="16" t="str">
        <f>IFERROR(IF(Members!A350="","",Members!A350),"")</f>
        <v/>
      </c>
      <c r="B353" s="16" t="str">
        <f>IFERROR(IF(Members!A350="","",Members!B350),"")</f>
        <v/>
      </c>
      <c r="C353" s="16" t="str">
        <f>IFERROR(IF(Members!A350="","",Members!C350),"")</f>
        <v/>
      </c>
      <c r="D353" s="16" t="str">
        <f>IFERROR(IF(Members!A350="","",Members!D350),"")</f>
        <v/>
      </c>
      <c r="E353" s="16" t="str">
        <f>IF(A353="","",COUNTIF(Completions!A:A,A353))</f>
        <v/>
      </c>
      <c r="F353" s="16" t="str">
        <f>IF(A353="","",SUMPRODUCT((Completions!A$2:A$5000=A353)*IFERROR(VLOOKUP(Completions!B$2:B$5000,$J$4:$K$18,2,FALSE()),0)))</f>
        <v/>
      </c>
      <c r="G353" s="16" t="str">
        <f t="shared" si="5"/>
        <v/>
      </c>
      <c r="H353" s="16" t="str">
        <f>IF(A353="","",IFERROR(TEXT(_xludf.maxifs(Completions!G:G,Completions!A:A,A353),"yyyy-mm-dd hh:mm"),"—"))</f>
        <v/>
      </c>
    </row>
    <row r="354" spans="1:8" ht="21.75" customHeight="1" x14ac:dyDescent="0.2">
      <c r="A354" s="17" t="str">
        <f>IFERROR(IF(Members!A351="","",Members!A351),"")</f>
        <v/>
      </c>
      <c r="B354" s="17" t="str">
        <f>IFERROR(IF(Members!A351="","",Members!B351),"")</f>
        <v/>
      </c>
      <c r="C354" s="17" t="str">
        <f>IFERROR(IF(Members!A351="","",Members!C351),"")</f>
        <v/>
      </c>
      <c r="D354" s="17" t="str">
        <f>IFERROR(IF(Members!A351="","",Members!D351),"")</f>
        <v/>
      </c>
      <c r="E354" s="17" t="str">
        <f>IF(A354="","",COUNTIF(Completions!A:A,A354))</f>
        <v/>
      </c>
      <c r="F354" s="17" t="str">
        <f>IF(A354="","",SUMPRODUCT((Completions!A$2:A$5000=A354)*IFERROR(VLOOKUP(Completions!B$2:B$5000,$J$4:$K$18,2,FALSE()),0)))</f>
        <v/>
      </c>
      <c r="G354" s="17" t="str">
        <f t="shared" si="5"/>
        <v/>
      </c>
      <c r="H354" s="17" t="str">
        <f>IF(A354="","",IFERROR(TEXT(_xludf.maxifs(Completions!G:G,Completions!A:A,A354),"yyyy-mm-dd hh:mm"),"—"))</f>
        <v/>
      </c>
    </row>
    <row r="355" spans="1:8" ht="21.75" customHeight="1" x14ac:dyDescent="0.2">
      <c r="A355" s="16" t="str">
        <f>IFERROR(IF(Members!A352="","",Members!A352),"")</f>
        <v/>
      </c>
      <c r="B355" s="16" t="str">
        <f>IFERROR(IF(Members!A352="","",Members!B352),"")</f>
        <v/>
      </c>
      <c r="C355" s="16" t="str">
        <f>IFERROR(IF(Members!A352="","",Members!C352),"")</f>
        <v/>
      </c>
      <c r="D355" s="16" t="str">
        <f>IFERROR(IF(Members!A352="","",Members!D352),"")</f>
        <v/>
      </c>
      <c r="E355" s="16" t="str">
        <f>IF(A355="","",COUNTIF(Completions!A:A,A355))</f>
        <v/>
      </c>
      <c r="F355" s="16" t="str">
        <f>IF(A355="","",SUMPRODUCT((Completions!A$2:A$5000=A355)*IFERROR(VLOOKUP(Completions!B$2:B$5000,$J$4:$K$18,2,FALSE()),0)))</f>
        <v/>
      </c>
      <c r="G355" s="16" t="str">
        <f t="shared" si="5"/>
        <v/>
      </c>
      <c r="H355" s="16" t="str">
        <f>IF(A355="","",IFERROR(TEXT(_xludf.maxifs(Completions!G:G,Completions!A:A,A355),"yyyy-mm-dd hh:mm"),"—"))</f>
        <v/>
      </c>
    </row>
    <row r="356" spans="1:8" ht="21.75" customHeight="1" x14ac:dyDescent="0.2">
      <c r="A356" s="17" t="str">
        <f>IFERROR(IF(Members!A353="","",Members!A353),"")</f>
        <v/>
      </c>
      <c r="B356" s="17" t="str">
        <f>IFERROR(IF(Members!A353="","",Members!B353),"")</f>
        <v/>
      </c>
      <c r="C356" s="17" t="str">
        <f>IFERROR(IF(Members!A353="","",Members!C353),"")</f>
        <v/>
      </c>
      <c r="D356" s="17" t="str">
        <f>IFERROR(IF(Members!A353="","",Members!D353),"")</f>
        <v/>
      </c>
      <c r="E356" s="17" t="str">
        <f>IF(A356="","",COUNTIF(Completions!A:A,A356))</f>
        <v/>
      </c>
      <c r="F356" s="17" t="str">
        <f>IF(A356="","",SUMPRODUCT((Completions!A$2:A$5000=A356)*IFERROR(VLOOKUP(Completions!B$2:B$5000,$J$4:$K$18,2,FALSE()),0)))</f>
        <v/>
      </c>
      <c r="G356" s="17" t="str">
        <f t="shared" si="5"/>
        <v/>
      </c>
      <c r="H356" s="17" t="str">
        <f>IF(A356="","",IFERROR(TEXT(_xludf.maxifs(Completions!G:G,Completions!A:A,A356),"yyyy-mm-dd hh:mm"),"—"))</f>
        <v/>
      </c>
    </row>
    <row r="357" spans="1:8" ht="21.75" customHeight="1" x14ac:dyDescent="0.2">
      <c r="A357" s="16" t="str">
        <f>IFERROR(IF(Members!A354="","",Members!A354),"")</f>
        <v/>
      </c>
      <c r="B357" s="16" t="str">
        <f>IFERROR(IF(Members!A354="","",Members!B354),"")</f>
        <v/>
      </c>
      <c r="C357" s="16" t="str">
        <f>IFERROR(IF(Members!A354="","",Members!C354),"")</f>
        <v/>
      </c>
      <c r="D357" s="16" t="str">
        <f>IFERROR(IF(Members!A354="","",Members!D354),"")</f>
        <v/>
      </c>
      <c r="E357" s="16" t="str">
        <f>IF(A357="","",COUNTIF(Completions!A:A,A357))</f>
        <v/>
      </c>
      <c r="F357" s="16" t="str">
        <f>IF(A357="","",SUMPRODUCT((Completions!A$2:A$5000=A357)*IFERROR(VLOOKUP(Completions!B$2:B$5000,$J$4:$K$18,2,FALSE()),0)))</f>
        <v/>
      </c>
      <c r="G357" s="16" t="str">
        <f t="shared" si="5"/>
        <v/>
      </c>
      <c r="H357" s="16" t="str">
        <f>IF(A357="","",IFERROR(TEXT(_xludf.maxifs(Completions!G:G,Completions!A:A,A357),"yyyy-mm-dd hh:mm"),"—"))</f>
        <v/>
      </c>
    </row>
    <row r="358" spans="1:8" ht="21.75" customHeight="1" x14ac:dyDescent="0.2">
      <c r="A358" s="17" t="str">
        <f>IFERROR(IF(Members!A355="","",Members!A355),"")</f>
        <v/>
      </c>
      <c r="B358" s="17" t="str">
        <f>IFERROR(IF(Members!A355="","",Members!B355),"")</f>
        <v/>
      </c>
      <c r="C358" s="17" t="str">
        <f>IFERROR(IF(Members!A355="","",Members!C355),"")</f>
        <v/>
      </c>
      <c r="D358" s="17" t="str">
        <f>IFERROR(IF(Members!A355="","",Members!D355),"")</f>
        <v/>
      </c>
      <c r="E358" s="17" t="str">
        <f>IF(A358="","",COUNTIF(Completions!A:A,A358))</f>
        <v/>
      </c>
      <c r="F358" s="17" t="str">
        <f>IF(A358="","",SUMPRODUCT((Completions!A$2:A$5000=A358)*IFERROR(VLOOKUP(Completions!B$2:B$5000,$J$4:$K$18,2,FALSE()),0)))</f>
        <v/>
      </c>
      <c r="G358" s="17" t="str">
        <f t="shared" si="5"/>
        <v/>
      </c>
      <c r="H358" s="17" t="str">
        <f>IF(A358="","",IFERROR(TEXT(_xludf.maxifs(Completions!G:G,Completions!A:A,A358),"yyyy-mm-dd hh:mm"),"—"))</f>
        <v/>
      </c>
    </row>
    <row r="359" spans="1:8" ht="21.75" customHeight="1" x14ac:dyDescent="0.2">
      <c r="A359" s="16" t="str">
        <f>IFERROR(IF(Members!A356="","",Members!A356),"")</f>
        <v/>
      </c>
      <c r="B359" s="16" t="str">
        <f>IFERROR(IF(Members!A356="","",Members!B356),"")</f>
        <v/>
      </c>
      <c r="C359" s="16" t="str">
        <f>IFERROR(IF(Members!A356="","",Members!C356),"")</f>
        <v/>
      </c>
      <c r="D359" s="16" t="str">
        <f>IFERROR(IF(Members!A356="","",Members!D356),"")</f>
        <v/>
      </c>
      <c r="E359" s="16" t="str">
        <f>IF(A359="","",COUNTIF(Completions!A:A,A359))</f>
        <v/>
      </c>
      <c r="F359" s="16" t="str">
        <f>IF(A359="","",SUMPRODUCT((Completions!A$2:A$5000=A359)*IFERROR(VLOOKUP(Completions!B$2:B$5000,$J$4:$K$18,2,FALSE()),0)))</f>
        <v/>
      </c>
      <c r="G359" s="16" t="str">
        <f t="shared" si="5"/>
        <v/>
      </c>
      <c r="H359" s="16" t="str">
        <f>IF(A359="","",IFERROR(TEXT(_xludf.maxifs(Completions!G:G,Completions!A:A,A359),"yyyy-mm-dd hh:mm"),"—"))</f>
        <v/>
      </c>
    </row>
    <row r="360" spans="1:8" ht="21.75" customHeight="1" x14ac:dyDescent="0.2">
      <c r="A360" s="17" t="str">
        <f>IFERROR(IF(Members!A357="","",Members!A357),"")</f>
        <v/>
      </c>
      <c r="B360" s="17" t="str">
        <f>IFERROR(IF(Members!A357="","",Members!B357),"")</f>
        <v/>
      </c>
      <c r="C360" s="17" t="str">
        <f>IFERROR(IF(Members!A357="","",Members!C357),"")</f>
        <v/>
      </c>
      <c r="D360" s="17" t="str">
        <f>IFERROR(IF(Members!A357="","",Members!D357),"")</f>
        <v/>
      </c>
      <c r="E360" s="17" t="str">
        <f>IF(A360="","",COUNTIF(Completions!A:A,A360))</f>
        <v/>
      </c>
      <c r="F360" s="17" t="str">
        <f>IF(A360="","",SUMPRODUCT((Completions!A$2:A$5000=A360)*IFERROR(VLOOKUP(Completions!B$2:B$5000,$J$4:$K$18,2,FALSE()),0)))</f>
        <v/>
      </c>
      <c r="G360" s="17" t="str">
        <f t="shared" si="5"/>
        <v/>
      </c>
      <c r="H360" s="17" t="str">
        <f>IF(A360="","",IFERROR(TEXT(_xludf.maxifs(Completions!G:G,Completions!A:A,A360),"yyyy-mm-dd hh:mm"),"—"))</f>
        <v/>
      </c>
    </row>
    <row r="361" spans="1:8" ht="21.75" customHeight="1" x14ac:dyDescent="0.2">
      <c r="A361" s="16" t="str">
        <f>IFERROR(IF(Members!A358="","",Members!A358),"")</f>
        <v/>
      </c>
      <c r="B361" s="16" t="str">
        <f>IFERROR(IF(Members!A358="","",Members!B358),"")</f>
        <v/>
      </c>
      <c r="C361" s="16" t="str">
        <f>IFERROR(IF(Members!A358="","",Members!C358),"")</f>
        <v/>
      </c>
      <c r="D361" s="16" t="str">
        <f>IFERROR(IF(Members!A358="","",Members!D358),"")</f>
        <v/>
      </c>
      <c r="E361" s="16" t="str">
        <f>IF(A361="","",COUNTIF(Completions!A:A,A361))</f>
        <v/>
      </c>
      <c r="F361" s="16" t="str">
        <f>IF(A361="","",SUMPRODUCT((Completions!A$2:A$5000=A361)*IFERROR(VLOOKUP(Completions!B$2:B$5000,$J$4:$K$18,2,FALSE()),0)))</f>
        <v/>
      </c>
      <c r="G361" s="16" t="str">
        <f t="shared" si="5"/>
        <v/>
      </c>
      <c r="H361" s="16" t="str">
        <f>IF(A361="","",IFERROR(TEXT(_xludf.maxifs(Completions!G:G,Completions!A:A,A361),"yyyy-mm-dd hh:mm"),"—"))</f>
        <v/>
      </c>
    </row>
    <row r="362" spans="1:8" ht="21.75" customHeight="1" x14ac:dyDescent="0.2">
      <c r="A362" s="17" t="str">
        <f>IFERROR(IF(Members!A359="","",Members!A359),"")</f>
        <v/>
      </c>
      <c r="B362" s="17" t="str">
        <f>IFERROR(IF(Members!A359="","",Members!B359),"")</f>
        <v/>
      </c>
      <c r="C362" s="17" t="str">
        <f>IFERROR(IF(Members!A359="","",Members!C359),"")</f>
        <v/>
      </c>
      <c r="D362" s="17" t="str">
        <f>IFERROR(IF(Members!A359="","",Members!D359),"")</f>
        <v/>
      </c>
      <c r="E362" s="17" t="str">
        <f>IF(A362="","",COUNTIF(Completions!A:A,A362))</f>
        <v/>
      </c>
      <c r="F362" s="17" t="str">
        <f>IF(A362="","",SUMPRODUCT((Completions!A$2:A$5000=A362)*IFERROR(VLOOKUP(Completions!B$2:B$5000,$J$4:$K$18,2,FALSE()),0)))</f>
        <v/>
      </c>
      <c r="G362" s="17" t="str">
        <f t="shared" si="5"/>
        <v/>
      </c>
      <c r="H362" s="17" t="str">
        <f>IF(A362="","",IFERROR(TEXT(_xludf.maxifs(Completions!G:G,Completions!A:A,A362),"yyyy-mm-dd hh:mm"),"—"))</f>
        <v/>
      </c>
    </row>
    <row r="363" spans="1:8" ht="21.75" customHeight="1" x14ac:dyDescent="0.2">
      <c r="A363" s="16" t="str">
        <f>IFERROR(IF(Members!A360="","",Members!A360),"")</f>
        <v/>
      </c>
      <c r="B363" s="16" t="str">
        <f>IFERROR(IF(Members!A360="","",Members!B360),"")</f>
        <v/>
      </c>
      <c r="C363" s="16" t="str">
        <f>IFERROR(IF(Members!A360="","",Members!C360),"")</f>
        <v/>
      </c>
      <c r="D363" s="16" t="str">
        <f>IFERROR(IF(Members!A360="","",Members!D360),"")</f>
        <v/>
      </c>
      <c r="E363" s="16" t="str">
        <f>IF(A363="","",COUNTIF(Completions!A:A,A363))</f>
        <v/>
      </c>
      <c r="F363" s="16" t="str">
        <f>IF(A363="","",SUMPRODUCT((Completions!A$2:A$5000=A363)*IFERROR(VLOOKUP(Completions!B$2:B$5000,$J$4:$K$18,2,FALSE()),0)))</f>
        <v/>
      </c>
      <c r="G363" s="16" t="str">
        <f t="shared" si="5"/>
        <v/>
      </c>
      <c r="H363" s="16" t="str">
        <f>IF(A363="","",IFERROR(TEXT(_xludf.maxifs(Completions!G:G,Completions!A:A,A363),"yyyy-mm-dd hh:mm"),"—"))</f>
        <v/>
      </c>
    </row>
    <row r="364" spans="1:8" ht="21.75" customHeight="1" x14ac:dyDescent="0.2">
      <c r="A364" s="17" t="str">
        <f>IFERROR(IF(Members!A361="","",Members!A361),"")</f>
        <v/>
      </c>
      <c r="B364" s="17" t="str">
        <f>IFERROR(IF(Members!A361="","",Members!B361),"")</f>
        <v/>
      </c>
      <c r="C364" s="17" t="str">
        <f>IFERROR(IF(Members!A361="","",Members!C361),"")</f>
        <v/>
      </c>
      <c r="D364" s="17" t="str">
        <f>IFERROR(IF(Members!A361="","",Members!D361),"")</f>
        <v/>
      </c>
      <c r="E364" s="17" t="str">
        <f>IF(A364="","",COUNTIF(Completions!A:A,A364))</f>
        <v/>
      </c>
      <c r="F364" s="17" t="str">
        <f>IF(A364="","",SUMPRODUCT((Completions!A$2:A$5000=A364)*IFERROR(VLOOKUP(Completions!B$2:B$5000,$J$4:$K$18,2,FALSE()),0)))</f>
        <v/>
      </c>
      <c r="G364" s="17" t="str">
        <f t="shared" si="5"/>
        <v/>
      </c>
      <c r="H364" s="17" t="str">
        <f>IF(A364="","",IFERROR(TEXT(_xludf.maxifs(Completions!G:G,Completions!A:A,A364),"yyyy-mm-dd hh:mm"),"—"))</f>
        <v/>
      </c>
    </row>
    <row r="365" spans="1:8" ht="21.75" customHeight="1" x14ac:dyDescent="0.2">
      <c r="A365" s="16" t="str">
        <f>IFERROR(IF(Members!A362="","",Members!A362),"")</f>
        <v/>
      </c>
      <c r="B365" s="16" t="str">
        <f>IFERROR(IF(Members!A362="","",Members!B362),"")</f>
        <v/>
      </c>
      <c r="C365" s="16" t="str">
        <f>IFERROR(IF(Members!A362="","",Members!C362),"")</f>
        <v/>
      </c>
      <c r="D365" s="16" t="str">
        <f>IFERROR(IF(Members!A362="","",Members!D362),"")</f>
        <v/>
      </c>
      <c r="E365" s="16" t="str">
        <f>IF(A365="","",COUNTIF(Completions!A:A,A365))</f>
        <v/>
      </c>
      <c r="F365" s="16" t="str">
        <f>IF(A365="","",SUMPRODUCT((Completions!A$2:A$5000=A365)*IFERROR(VLOOKUP(Completions!B$2:B$5000,$J$4:$K$18,2,FALSE()),0)))</f>
        <v/>
      </c>
      <c r="G365" s="16" t="str">
        <f t="shared" si="5"/>
        <v/>
      </c>
      <c r="H365" s="16" t="str">
        <f>IF(A365="","",IFERROR(TEXT(_xludf.maxifs(Completions!G:G,Completions!A:A,A365),"yyyy-mm-dd hh:mm"),"—"))</f>
        <v/>
      </c>
    </row>
    <row r="366" spans="1:8" ht="21.75" customHeight="1" x14ac:dyDescent="0.2">
      <c r="A366" s="17" t="str">
        <f>IFERROR(IF(Members!A363="","",Members!A363),"")</f>
        <v/>
      </c>
      <c r="B366" s="17" t="str">
        <f>IFERROR(IF(Members!A363="","",Members!B363),"")</f>
        <v/>
      </c>
      <c r="C366" s="17" t="str">
        <f>IFERROR(IF(Members!A363="","",Members!C363),"")</f>
        <v/>
      </c>
      <c r="D366" s="17" t="str">
        <f>IFERROR(IF(Members!A363="","",Members!D363),"")</f>
        <v/>
      </c>
      <c r="E366" s="17" t="str">
        <f>IF(A366="","",COUNTIF(Completions!A:A,A366))</f>
        <v/>
      </c>
      <c r="F366" s="17" t="str">
        <f>IF(A366="","",SUMPRODUCT((Completions!A$2:A$5000=A366)*IFERROR(VLOOKUP(Completions!B$2:B$5000,$J$4:$K$18,2,FALSE()),0)))</f>
        <v/>
      </c>
      <c r="G366" s="17" t="str">
        <f t="shared" si="5"/>
        <v/>
      </c>
      <c r="H366" s="17" t="str">
        <f>IF(A366="","",IFERROR(TEXT(_xludf.maxifs(Completions!G:G,Completions!A:A,A366),"yyyy-mm-dd hh:mm"),"—"))</f>
        <v/>
      </c>
    </row>
    <row r="367" spans="1:8" ht="21.75" customHeight="1" x14ac:dyDescent="0.2">
      <c r="A367" s="16" t="str">
        <f>IFERROR(IF(Members!A364="","",Members!A364),"")</f>
        <v/>
      </c>
      <c r="B367" s="16" t="str">
        <f>IFERROR(IF(Members!A364="","",Members!B364),"")</f>
        <v/>
      </c>
      <c r="C367" s="16" t="str">
        <f>IFERROR(IF(Members!A364="","",Members!C364),"")</f>
        <v/>
      </c>
      <c r="D367" s="16" t="str">
        <f>IFERROR(IF(Members!A364="","",Members!D364),"")</f>
        <v/>
      </c>
      <c r="E367" s="16" t="str">
        <f>IF(A367="","",COUNTIF(Completions!A:A,A367))</f>
        <v/>
      </c>
      <c r="F367" s="16" t="str">
        <f>IF(A367="","",SUMPRODUCT((Completions!A$2:A$5000=A367)*IFERROR(VLOOKUP(Completions!B$2:B$5000,$J$4:$K$18,2,FALSE()),0)))</f>
        <v/>
      </c>
      <c r="G367" s="16" t="str">
        <f t="shared" si="5"/>
        <v/>
      </c>
      <c r="H367" s="16" t="str">
        <f>IF(A367="","",IFERROR(TEXT(_xludf.maxifs(Completions!G:G,Completions!A:A,A367),"yyyy-mm-dd hh:mm"),"—"))</f>
        <v/>
      </c>
    </row>
    <row r="368" spans="1:8" ht="21.75" customHeight="1" x14ac:dyDescent="0.2">
      <c r="A368" s="17" t="str">
        <f>IFERROR(IF(Members!A365="","",Members!A365),"")</f>
        <v/>
      </c>
      <c r="B368" s="17" t="str">
        <f>IFERROR(IF(Members!A365="","",Members!B365),"")</f>
        <v/>
      </c>
      <c r="C368" s="17" t="str">
        <f>IFERROR(IF(Members!A365="","",Members!C365),"")</f>
        <v/>
      </c>
      <c r="D368" s="17" t="str">
        <f>IFERROR(IF(Members!A365="","",Members!D365),"")</f>
        <v/>
      </c>
      <c r="E368" s="17" t="str">
        <f>IF(A368="","",COUNTIF(Completions!A:A,A368))</f>
        <v/>
      </c>
      <c r="F368" s="17" t="str">
        <f>IF(A368="","",SUMPRODUCT((Completions!A$2:A$5000=A368)*IFERROR(VLOOKUP(Completions!B$2:B$5000,$J$4:$K$18,2,FALSE()),0)))</f>
        <v/>
      </c>
      <c r="G368" s="17" t="str">
        <f t="shared" si="5"/>
        <v/>
      </c>
      <c r="H368" s="17" t="str">
        <f>IF(A368="","",IFERROR(TEXT(_xludf.maxifs(Completions!G:G,Completions!A:A,A368),"yyyy-mm-dd hh:mm"),"—"))</f>
        <v/>
      </c>
    </row>
    <row r="369" spans="1:8" ht="21.75" customHeight="1" x14ac:dyDescent="0.2">
      <c r="A369" s="16" t="str">
        <f>IFERROR(IF(Members!A366="","",Members!A366),"")</f>
        <v/>
      </c>
      <c r="B369" s="16" t="str">
        <f>IFERROR(IF(Members!A366="","",Members!B366),"")</f>
        <v/>
      </c>
      <c r="C369" s="16" t="str">
        <f>IFERROR(IF(Members!A366="","",Members!C366),"")</f>
        <v/>
      </c>
      <c r="D369" s="16" t="str">
        <f>IFERROR(IF(Members!A366="","",Members!D366),"")</f>
        <v/>
      </c>
      <c r="E369" s="16" t="str">
        <f>IF(A369="","",COUNTIF(Completions!A:A,A369))</f>
        <v/>
      </c>
      <c r="F369" s="16" t="str">
        <f>IF(A369="","",SUMPRODUCT((Completions!A$2:A$5000=A369)*IFERROR(VLOOKUP(Completions!B$2:B$5000,$J$4:$K$18,2,FALSE()),0)))</f>
        <v/>
      </c>
      <c r="G369" s="16" t="str">
        <f t="shared" si="5"/>
        <v/>
      </c>
      <c r="H369" s="16" t="str">
        <f>IF(A369="","",IFERROR(TEXT(_xludf.maxifs(Completions!G:G,Completions!A:A,A369),"yyyy-mm-dd hh:mm"),"—"))</f>
        <v/>
      </c>
    </row>
    <row r="370" spans="1:8" ht="21.75" customHeight="1" x14ac:dyDescent="0.2">
      <c r="A370" s="17" t="str">
        <f>IFERROR(IF(Members!A367="","",Members!A367),"")</f>
        <v/>
      </c>
      <c r="B370" s="17" t="str">
        <f>IFERROR(IF(Members!A367="","",Members!B367),"")</f>
        <v/>
      </c>
      <c r="C370" s="17" t="str">
        <f>IFERROR(IF(Members!A367="","",Members!C367),"")</f>
        <v/>
      </c>
      <c r="D370" s="17" t="str">
        <f>IFERROR(IF(Members!A367="","",Members!D367),"")</f>
        <v/>
      </c>
      <c r="E370" s="17" t="str">
        <f>IF(A370="","",COUNTIF(Completions!A:A,A370))</f>
        <v/>
      </c>
      <c r="F370" s="17" t="str">
        <f>IF(A370="","",SUMPRODUCT((Completions!A$2:A$5000=A370)*IFERROR(VLOOKUP(Completions!B$2:B$5000,$J$4:$K$18,2,FALSE()),0)))</f>
        <v/>
      </c>
      <c r="G370" s="17" t="str">
        <f t="shared" si="5"/>
        <v/>
      </c>
      <c r="H370" s="17" t="str">
        <f>IF(A370="","",IFERROR(TEXT(_xludf.maxifs(Completions!G:G,Completions!A:A,A370),"yyyy-mm-dd hh:mm"),"—"))</f>
        <v/>
      </c>
    </row>
    <row r="371" spans="1:8" ht="21.75" customHeight="1" x14ac:dyDescent="0.2">
      <c r="A371" s="16" t="str">
        <f>IFERROR(IF(Members!A368="","",Members!A368),"")</f>
        <v/>
      </c>
      <c r="B371" s="16" t="str">
        <f>IFERROR(IF(Members!A368="","",Members!B368),"")</f>
        <v/>
      </c>
      <c r="C371" s="16" t="str">
        <f>IFERROR(IF(Members!A368="","",Members!C368),"")</f>
        <v/>
      </c>
      <c r="D371" s="16" t="str">
        <f>IFERROR(IF(Members!A368="","",Members!D368),"")</f>
        <v/>
      </c>
      <c r="E371" s="16" t="str">
        <f>IF(A371="","",COUNTIF(Completions!A:A,A371))</f>
        <v/>
      </c>
      <c r="F371" s="16" t="str">
        <f>IF(A371="","",SUMPRODUCT((Completions!A$2:A$5000=A371)*IFERROR(VLOOKUP(Completions!B$2:B$5000,$J$4:$K$18,2,FALSE()),0)))</f>
        <v/>
      </c>
      <c r="G371" s="16" t="str">
        <f t="shared" si="5"/>
        <v/>
      </c>
      <c r="H371" s="16" t="str">
        <f>IF(A371="","",IFERROR(TEXT(_xludf.maxifs(Completions!G:G,Completions!A:A,A371),"yyyy-mm-dd hh:mm"),"—"))</f>
        <v/>
      </c>
    </row>
    <row r="372" spans="1:8" ht="21.75" customHeight="1" x14ac:dyDescent="0.2">
      <c r="A372" s="17" t="str">
        <f>IFERROR(IF(Members!A369="","",Members!A369),"")</f>
        <v/>
      </c>
      <c r="B372" s="17" t="str">
        <f>IFERROR(IF(Members!A369="","",Members!B369),"")</f>
        <v/>
      </c>
      <c r="C372" s="17" t="str">
        <f>IFERROR(IF(Members!A369="","",Members!C369),"")</f>
        <v/>
      </c>
      <c r="D372" s="17" t="str">
        <f>IFERROR(IF(Members!A369="","",Members!D369),"")</f>
        <v/>
      </c>
      <c r="E372" s="17" t="str">
        <f>IF(A372="","",COUNTIF(Completions!A:A,A372))</f>
        <v/>
      </c>
      <c r="F372" s="17" t="str">
        <f>IF(A372="","",SUMPRODUCT((Completions!A$2:A$5000=A372)*IFERROR(VLOOKUP(Completions!B$2:B$5000,$J$4:$K$18,2,FALSE()),0)))</f>
        <v/>
      </c>
      <c r="G372" s="17" t="str">
        <f t="shared" si="5"/>
        <v/>
      </c>
      <c r="H372" s="17" t="str">
        <f>IF(A372="","",IFERROR(TEXT(_xludf.maxifs(Completions!G:G,Completions!A:A,A372),"yyyy-mm-dd hh:mm"),"—"))</f>
        <v/>
      </c>
    </row>
    <row r="373" spans="1:8" ht="21.75" customHeight="1" x14ac:dyDescent="0.2">
      <c r="A373" s="16" t="str">
        <f>IFERROR(IF(Members!A370="","",Members!A370),"")</f>
        <v/>
      </c>
      <c r="B373" s="16" t="str">
        <f>IFERROR(IF(Members!A370="","",Members!B370),"")</f>
        <v/>
      </c>
      <c r="C373" s="16" t="str">
        <f>IFERROR(IF(Members!A370="","",Members!C370),"")</f>
        <v/>
      </c>
      <c r="D373" s="16" t="str">
        <f>IFERROR(IF(Members!A370="","",Members!D370),"")</f>
        <v/>
      </c>
      <c r="E373" s="16" t="str">
        <f>IF(A373="","",COUNTIF(Completions!A:A,A373))</f>
        <v/>
      </c>
      <c r="F373" s="16" t="str">
        <f>IF(A373="","",SUMPRODUCT((Completions!A$2:A$5000=A373)*IFERROR(VLOOKUP(Completions!B$2:B$5000,$J$4:$K$18,2,FALSE()),0)))</f>
        <v/>
      </c>
      <c r="G373" s="16" t="str">
        <f t="shared" si="5"/>
        <v/>
      </c>
      <c r="H373" s="16" t="str">
        <f>IF(A373="","",IFERROR(TEXT(_xludf.maxifs(Completions!G:G,Completions!A:A,A373),"yyyy-mm-dd hh:mm"),"—"))</f>
        <v/>
      </c>
    </row>
    <row r="374" spans="1:8" ht="21.75" customHeight="1" x14ac:dyDescent="0.2">
      <c r="A374" s="17" t="str">
        <f>IFERROR(IF(Members!A371="","",Members!A371),"")</f>
        <v/>
      </c>
      <c r="B374" s="17" t="str">
        <f>IFERROR(IF(Members!A371="","",Members!B371),"")</f>
        <v/>
      </c>
      <c r="C374" s="17" t="str">
        <f>IFERROR(IF(Members!A371="","",Members!C371),"")</f>
        <v/>
      </c>
      <c r="D374" s="17" t="str">
        <f>IFERROR(IF(Members!A371="","",Members!D371),"")</f>
        <v/>
      </c>
      <c r="E374" s="17" t="str">
        <f>IF(A374="","",COUNTIF(Completions!A:A,A374))</f>
        <v/>
      </c>
      <c r="F374" s="17" t="str">
        <f>IF(A374="","",SUMPRODUCT((Completions!A$2:A$5000=A374)*IFERROR(VLOOKUP(Completions!B$2:B$5000,$J$4:$K$18,2,FALSE()),0)))</f>
        <v/>
      </c>
      <c r="G374" s="17" t="str">
        <f t="shared" si="5"/>
        <v/>
      </c>
      <c r="H374" s="17" t="str">
        <f>IF(A374="","",IFERROR(TEXT(_xludf.maxifs(Completions!G:G,Completions!A:A,A374),"yyyy-mm-dd hh:mm"),"—"))</f>
        <v/>
      </c>
    </row>
    <row r="375" spans="1:8" ht="21.75" customHeight="1" x14ac:dyDescent="0.2">
      <c r="A375" s="16" t="str">
        <f>IFERROR(IF(Members!A372="","",Members!A372),"")</f>
        <v/>
      </c>
      <c r="B375" s="16" t="str">
        <f>IFERROR(IF(Members!A372="","",Members!B372),"")</f>
        <v/>
      </c>
      <c r="C375" s="16" t="str">
        <f>IFERROR(IF(Members!A372="","",Members!C372),"")</f>
        <v/>
      </c>
      <c r="D375" s="16" t="str">
        <f>IFERROR(IF(Members!A372="","",Members!D372),"")</f>
        <v/>
      </c>
      <c r="E375" s="16" t="str">
        <f>IF(A375="","",COUNTIF(Completions!A:A,A375))</f>
        <v/>
      </c>
      <c r="F375" s="16" t="str">
        <f>IF(A375="","",SUMPRODUCT((Completions!A$2:A$5000=A375)*IFERROR(VLOOKUP(Completions!B$2:B$5000,$J$4:$K$18,2,FALSE()),0)))</f>
        <v/>
      </c>
      <c r="G375" s="16" t="str">
        <f t="shared" si="5"/>
        <v/>
      </c>
      <c r="H375" s="16" t="str">
        <f>IF(A375="","",IFERROR(TEXT(_xludf.maxifs(Completions!G:G,Completions!A:A,A375),"yyyy-mm-dd hh:mm"),"—"))</f>
        <v/>
      </c>
    </row>
    <row r="376" spans="1:8" ht="21.75" customHeight="1" x14ac:dyDescent="0.2">
      <c r="A376" s="17" t="str">
        <f>IFERROR(IF(Members!A373="","",Members!A373),"")</f>
        <v/>
      </c>
      <c r="B376" s="17" t="str">
        <f>IFERROR(IF(Members!A373="","",Members!B373),"")</f>
        <v/>
      </c>
      <c r="C376" s="17" t="str">
        <f>IFERROR(IF(Members!A373="","",Members!C373),"")</f>
        <v/>
      </c>
      <c r="D376" s="17" t="str">
        <f>IFERROR(IF(Members!A373="","",Members!D373),"")</f>
        <v/>
      </c>
      <c r="E376" s="17" t="str">
        <f>IF(A376="","",COUNTIF(Completions!A:A,A376))</f>
        <v/>
      </c>
      <c r="F376" s="17" t="str">
        <f>IF(A376="","",SUMPRODUCT((Completions!A$2:A$5000=A376)*IFERROR(VLOOKUP(Completions!B$2:B$5000,$J$4:$K$18,2,FALSE()),0)))</f>
        <v/>
      </c>
      <c r="G376" s="17" t="str">
        <f t="shared" si="5"/>
        <v/>
      </c>
      <c r="H376" s="17" t="str">
        <f>IF(A376="","",IFERROR(TEXT(_xludf.maxifs(Completions!G:G,Completions!A:A,A376),"yyyy-mm-dd hh:mm"),"—"))</f>
        <v/>
      </c>
    </row>
    <row r="377" spans="1:8" ht="21.75" customHeight="1" x14ac:dyDescent="0.2">
      <c r="A377" s="16" t="str">
        <f>IFERROR(IF(Members!A374="","",Members!A374),"")</f>
        <v/>
      </c>
      <c r="B377" s="16" t="str">
        <f>IFERROR(IF(Members!A374="","",Members!B374),"")</f>
        <v/>
      </c>
      <c r="C377" s="16" t="str">
        <f>IFERROR(IF(Members!A374="","",Members!C374),"")</f>
        <v/>
      </c>
      <c r="D377" s="16" t="str">
        <f>IFERROR(IF(Members!A374="","",Members!D374),"")</f>
        <v/>
      </c>
      <c r="E377" s="16" t="str">
        <f>IF(A377="","",COUNTIF(Completions!A:A,A377))</f>
        <v/>
      </c>
      <c r="F377" s="16" t="str">
        <f>IF(A377="","",SUMPRODUCT((Completions!A$2:A$5000=A377)*IFERROR(VLOOKUP(Completions!B$2:B$5000,$J$4:$K$18,2,FALSE()),0)))</f>
        <v/>
      </c>
      <c r="G377" s="16" t="str">
        <f t="shared" si="5"/>
        <v/>
      </c>
      <c r="H377" s="16" t="str">
        <f>IF(A377="","",IFERROR(TEXT(_xludf.maxifs(Completions!G:G,Completions!A:A,A377),"yyyy-mm-dd hh:mm"),"—"))</f>
        <v/>
      </c>
    </row>
    <row r="378" spans="1:8" ht="21.75" customHeight="1" x14ac:dyDescent="0.2">
      <c r="A378" s="17" t="str">
        <f>IFERROR(IF(Members!A375="","",Members!A375),"")</f>
        <v/>
      </c>
      <c r="B378" s="17" t="str">
        <f>IFERROR(IF(Members!A375="","",Members!B375),"")</f>
        <v/>
      </c>
      <c r="C378" s="17" t="str">
        <f>IFERROR(IF(Members!A375="","",Members!C375),"")</f>
        <v/>
      </c>
      <c r="D378" s="17" t="str">
        <f>IFERROR(IF(Members!A375="","",Members!D375),"")</f>
        <v/>
      </c>
      <c r="E378" s="17" t="str">
        <f>IF(A378="","",COUNTIF(Completions!A:A,A378))</f>
        <v/>
      </c>
      <c r="F378" s="17" t="str">
        <f>IF(A378="","",SUMPRODUCT((Completions!A$2:A$5000=A378)*IFERROR(VLOOKUP(Completions!B$2:B$5000,$J$4:$K$18,2,FALSE()),0)))</f>
        <v/>
      </c>
      <c r="G378" s="17" t="str">
        <f t="shared" si="5"/>
        <v/>
      </c>
      <c r="H378" s="17" t="str">
        <f>IF(A378="","",IFERROR(TEXT(_xludf.maxifs(Completions!G:G,Completions!A:A,A378),"yyyy-mm-dd hh:mm"),"—"))</f>
        <v/>
      </c>
    </row>
    <row r="379" spans="1:8" ht="21.75" customHeight="1" x14ac:dyDescent="0.2">
      <c r="A379" s="16" t="str">
        <f>IFERROR(IF(Members!A376="","",Members!A376),"")</f>
        <v/>
      </c>
      <c r="B379" s="16" t="str">
        <f>IFERROR(IF(Members!A376="","",Members!B376),"")</f>
        <v/>
      </c>
      <c r="C379" s="16" t="str">
        <f>IFERROR(IF(Members!A376="","",Members!C376),"")</f>
        <v/>
      </c>
      <c r="D379" s="16" t="str">
        <f>IFERROR(IF(Members!A376="","",Members!D376),"")</f>
        <v/>
      </c>
      <c r="E379" s="16" t="str">
        <f>IF(A379="","",COUNTIF(Completions!A:A,A379))</f>
        <v/>
      </c>
      <c r="F379" s="16" t="str">
        <f>IF(A379="","",SUMPRODUCT((Completions!A$2:A$5000=A379)*IFERROR(VLOOKUP(Completions!B$2:B$5000,$J$4:$K$18,2,FALSE()),0)))</f>
        <v/>
      </c>
      <c r="G379" s="16" t="str">
        <f t="shared" si="5"/>
        <v/>
      </c>
      <c r="H379" s="16" t="str">
        <f>IF(A379="","",IFERROR(TEXT(_xludf.maxifs(Completions!G:G,Completions!A:A,A379),"yyyy-mm-dd hh:mm"),"—"))</f>
        <v/>
      </c>
    </row>
    <row r="380" spans="1:8" ht="21.75" customHeight="1" x14ac:dyDescent="0.2">
      <c r="A380" s="17" t="str">
        <f>IFERROR(IF(Members!A377="","",Members!A377),"")</f>
        <v/>
      </c>
      <c r="B380" s="17" t="str">
        <f>IFERROR(IF(Members!A377="","",Members!B377),"")</f>
        <v/>
      </c>
      <c r="C380" s="17" t="str">
        <f>IFERROR(IF(Members!A377="","",Members!C377),"")</f>
        <v/>
      </c>
      <c r="D380" s="17" t="str">
        <f>IFERROR(IF(Members!A377="","",Members!D377),"")</f>
        <v/>
      </c>
      <c r="E380" s="17" t="str">
        <f>IF(A380="","",COUNTIF(Completions!A:A,A380))</f>
        <v/>
      </c>
      <c r="F380" s="17" t="str">
        <f>IF(A380="","",SUMPRODUCT((Completions!A$2:A$5000=A380)*IFERROR(VLOOKUP(Completions!B$2:B$5000,$J$4:$K$18,2,FALSE()),0)))</f>
        <v/>
      </c>
      <c r="G380" s="17" t="str">
        <f t="shared" si="5"/>
        <v/>
      </c>
      <c r="H380" s="17" t="str">
        <f>IF(A380="","",IFERROR(TEXT(_xludf.maxifs(Completions!G:G,Completions!A:A,A380),"yyyy-mm-dd hh:mm"),"—"))</f>
        <v/>
      </c>
    </row>
    <row r="381" spans="1:8" ht="21.75" customHeight="1" x14ac:dyDescent="0.2">
      <c r="A381" s="16" t="str">
        <f>IFERROR(IF(Members!A378="","",Members!A378),"")</f>
        <v/>
      </c>
      <c r="B381" s="16" t="str">
        <f>IFERROR(IF(Members!A378="","",Members!B378),"")</f>
        <v/>
      </c>
      <c r="C381" s="16" t="str">
        <f>IFERROR(IF(Members!A378="","",Members!C378),"")</f>
        <v/>
      </c>
      <c r="D381" s="16" t="str">
        <f>IFERROR(IF(Members!A378="","",Members!D378),"")</f>
        <v/>
      </c>
      <c r="E381" s="16" t="str">
        <f>IF(A381="","",COUNTIF(Completions!A:A,A381))</f>
        <v/>
      </c>
      <c r="F381" s="16" t="str">
        <f>IF(A381="","",SUMPRODUCT((Completions!A$2:A$5000=A381)*IFERROR(VLOOKUP(Completions!B$2:B$5000,$J$4:$K$18,2,FALSE()),0)))</f>
        <v/>
      </c>
      <c r="G381" s="16" t="str">
        <f t="shared" si="5"/>
        <v/>
      </c>
      <c r="H381" s="16" t="str">
        <f>IF(A381="","",IFERROR(TEXT(_xludf.maxifs(Completions!G:G,Completions!A:A,A381),"yyyy-mm-dd hh:mm"),"—"))</f>
        <v/>
      </c>
    </row>
    <row r="382" spans="1:8" ht="21.75" customHeight="1" x14ac:dyDescent="0.2">
      <c r="A382" s="17" t="str">
        <f>IFERROR(IF(Members!A379="","",Members!A379),"")</f>
        <v/>
      </c>
      <c r="B382" s="17" t="str">
        <f>IFERROR(IF(Members!A379="","",Members!B379),"")</f>
        <v/>
      </c>
      <c r="C382" s="17" t="str">
        <f>IFERROR(IF(Members!A379="","",Members!C379),"")</f>
        <v/>
      </c>
      <c r="D382" s="17" t="str">
        <f>IFERROR(IF(Members!A379="","",Members!D379),"")</f>
        <v/>
      </c>
      <c r="E382" s="17" t="str">
        <f>IF(A382="","",COUNTIF(Completions!A:A,A382))</f>
        <v/>
      </c>
      <c r="F382" s="17" t="str">
        <f>IF(A382="","",SUMPRODUCT((Completions!A$2:A$5000=A382)*IFERROR(VLOOKUP(Completions!B$2:B$5000,$J$4:$K$18,2,FALSE()),0)))</f>
        <v/>
      </c>
      <c r="G382" s="17" t="str">
        <f t="shared" si="5"/>
        <v/>
      </c>
      <c r="H382" s="17" t="str">
        <f>IF(A382="","",IFERROR(TEXT(_xludf.maxifs(Completions!G:G,Completions!A:A,A382),"yyyy-mm-dd hh:mm"),"—"))</f>
        <v/>
      </c>
    </row>
    <row r="383" spans="1:8" ht="21.75" customHeight="1" x14ac:dyDescent="0.2">
      <c r="A383" s="16" t="str">
        <f>IFERROR(IF(Members!A380="","",Members!A380),"")</f>
        <v/>
      </c>
      <c r="B383" s="16" t="str">
        <f>IFERROR(IF(Members!A380="","",Members!B380),"")</f>
        <v/>
      </c>
      <c r="C383" s="16" t="str">
        <f>IFERROR(IF(Members!A380="","",Members!C380),"")</f>
        <v/>
      </c>
      <c r="D383" s="16" t="str">
        <f>IFERROR(IF(Members!A380="","",Members!D380),"")</f>
        <v/>
      </c>
      <c r="E383" s="16" t="str">
        <f>IF(A383="","",COUNTIF(Completions!A:A,A383))</f>
        <v/>
      </c>
      <c r="F383" s="16" t="str">
        <f>IF(A383="","",SUMPRODUCT((Completions!A$2:A$5000=A383)*IFERROR(VLOOKUP(Completions!B$2:B$5000,$J$4:$K$18,2,FALSE()),0)))</f>
        <v/>
      </c>
      <c r="G383" s="16" t="str">
        <f t="shared" si="5"/>
        <v/>
      </c>
      <c r="H383" s="16" t="str">
        <f>IF(A383="","",IFERROR(TEXT(_xludf.maxifs(Completions!G:G,Completions!A:A,A383),"yyyy-mm-dd hh:mm"),"—"))</f>
        <v/>
      </c>
    </row>
    <row r="384" spans="1:8" ht="21.75" customHeight="1" x14ac:dyDescent="0.2">
      <c r="A384" s="17" t="str">
        <f>IFERROR(IF(Members!A381="","",Members!A381),"")</f>
        <v/>
      </c>
      <c r="B384" s="17" t="str">
        <f>IFERROR(IF(Members!A381="","",Members!B381),"")</f>
        <v/>
      </c>
      <c r="C384" s="17" t="str">
        <f>IFERROR(IF(Members!A381="","",Members!C381),"")</f>
        <v/>
      </c>
      <c r="D384" s="17" t="str">
        <f>IFERROR(IF(Members!A381="","",Members!D381),"")</f>
        <v/>
      </c>
      <c r="E384" s="17" t="str">
        <f>IF(A384="","",COUNTIF(Completions!A:A,A384))</f>
        <v/>
      </c>
      <c r="F384" s="17" t="str">
        <f>IF(A384="","",SUMPRODUCT((Completions!A$2:A$5000=A384)*IFERROR(VLOOKUP(Completions!B$2:B$5000,$J$4:$K$18,2,FALSE()),0)))</f>
        <v/>
      </c>
      <c r="G384" s="17" t="str">
        <f t="shared" si="5"/>
        <v/>
      </c>
      <c r="H384" s="17" t="str">
        <f>IF(A384="","",IFERROR(TEXT(_xludf.maxifs(Completions!G:G,Completions!A:A,A384),"yyyy-mm-dd hh:mm"),"—"))</f>
        <v/>
      </c>
    </row>
    <row r="385" spans="1:8" ht="21.75" customHeight="1" x14ac:dyDescent="0.2">
      <c r="A385" s="16" t="str">
        <f>IFERROR(IF(Members!A382="","",Members!A382),"")</f>
        <v/>
      </c>
      <c r="B385" s="16" t="str">
        <f>IFERROR(IF(Members!A382="","",Members!B382),"")</f>
        <v/>
      </c>
      <c r="C385" s="16" t="str">
        <f>IFERROR(IF(Members!A382="","",Members!C382),"")</f>
        <v/>
      </c>
      <c r="D385" s="16" t="str">
        <f>IFERROR(IF(Members!A382="","",Members!D382),"")</f>
        <v/>
      </c>
      <c r="E385" s="16" t="str">
        <f>IF(A385="","",COUNTIF(Completions!A:A,A385))</f>
        <v/>
      </c>
      <c r="F385" s="16" t="str">
        <f>IF(A385="","",SUMPRODUCT((Completions!A$2:A$5000=A385)*IFERROR(VLOOKUP(Completions!B$2:B$5000,$J$4:$K$18,2,FALSE()),0)))</f>
        <v/>
      </c>
      <c r="G385" s="16" t="str">
        <f t="shared" si="5"/>
        <v/>
      </c>
      <c r="H385" s="16" t="str">
        <f>IF(A385="","",IFERROR(TEXT(_xludf.maxifs(Completions!G:G,Completions!A:A,A385),"yyyy-mm-dd hh:mm"),"—"))</f>
        <v/>
      </c>
    </row>
    <row r="386" spans="1:8" ht="21.75" customHeight="1" x14ac:dyDescent="0.2">
      <c r="A386" s="17" t="str">
        <f>IFERROR(IF(Members!A383="","",Members!A383),"")</f>
        <v/>
      </c>
      <c r="B386" s="17" t="str">
        <f>IFERROR(IF(Members!A383="","",Members!B383),"")</f>
        <v/>
      </c>
      <c r="C386" s="17" t="str">
        <f>IFERROR(IF(Members!A383="","",Members!C383),"")</f>
        <v/>
      </c>
      <c r="D386" s="17" t="str">
        <f>IFERROR(IF(Members!A383="","",Members!D383),"")</f>
        <v/>
      </c>
      <c r="E386" s="17" t="str">
        <f>IF(A386="","",COUNTIF(Completions!A:A,A386))</f>
        <v/>
      </c>
      <c r="F386" s="17" t="str">
        <f>IF(A386="","",SUMPRODUCT((Completions!A$2:A$5000=A386)*IFERROR(VLOOKUP(Completions!B$2:B$5000,$J$4:$K$18,2,FALSE()),0)))</f>
        <v/>
      </c>
      <c r="G386" s="17" t="str">
        <f t="shared" si="5"/>
        <v/>
      </c>
      <c r="H386" s="17" t="str">
        <f>IF(A386="","",IFERROR(TEXT(_xludf.maxifs(Completions!G:G,Completions!A:A,A386),"yyyy-mm-dd hh:mm"),"—"))</f>
        <v/>
      </c>
    </row>
    <row r="387" spans="1:8" ht="21.75" customHeight="1" x14ac:dyDescent="0.2">
      <c r="A387" s="16" t="str">
        <f>IFERROR(IF(Members!A384="","",Members!A384),"")</f>
        <v/>
      </c>
      <c r="B387" s="16" t="str">
        <f>IFERROR(IF(Members!A384="","",Members!B384),"")</f>
        <v/>
      </c>
      <c r="C387" s="16" t="str">
        <f>IFERROR(IF(Members!A384="","",Members!C384),"")</f>
        <v/>
      </c>
      <c r="D387" s="16" t="str">
        <f>IFERROR(IF(Members!A384="","",Members!D384),"")</f>
        <v/>
      </c>
      <c r="E387" s="16" t="str">
        <f>IF(A387="","",COUNTIF(Completions!A:A,A387))</f>
        <v/>
      </c>
      <c r="F387" s="16" t="str">
        <f>IF(A387="","",SUMPRODUCT((Completions!A$2:A$5000=A387)*IFERROR(VLOOKUP(Completions!B$2:B$5000,$J$4:$K$18,2,FALSE()),0)))</f>
        <v/>
      </c>
      <c r="G387" s="16" t="str">
        <f t="shared" si="5"/>
        <v/>
      </c>
      <c r="H387" s="16" t="str">
        <f>IF(A387="","",IFERROR(TEXT(_xludf.maxifs(Completions!G:G,Completions!A:A,A387),"yyyy-mm-dd hh:mm"),"—"))</f>
        <v/>
      </c>
    </row>
    <row r="388" spans="1:8" ht="21.75" customHeight="1" x14ac:dyDescent="0.2">
      <c r="A388" s="17" t="str">
        <f>IFERROR(IF(Members!A385="","",Members!A385),"")</f>
        <v/>
      </c>
      <c r="B388" s="17" t="str">
        <f>IFERROR(IF(Members!A385="","",Members!B385),"")</f>
        <v/>
      </c>
      <c r="C388" s="17" t="str">
        <f>IFERROR(IF(Members!A385="","",Members!C385),"")</f>
        <v/>
      </c>
      <c r="D388" s="17" t="str">
        <f>IFERROR(IF(Members!A385="","",Members!D385),"")</f>
        <v/>
      </c>
      <c r="E388" s="17" t="str">
        <f>IF(A388="","",COUNTIF(Completions!A:A,A388))</f>
        <v/>
      </c>
      <c r="F388" s="17" t="str">
        <f>IF(A388="","",SUMPRODUCT((Completions!A$2:A$5000=A388)*IFERROR(VLOOKUP(Completions!B$2:B$5000,$J$4:$K$18,2,FALSE()),0)))</f>
        <v/>
      </c>
      <c r="G388" s="17" t="str">
        <f t="shared" si="5"/>
        <v/>
      </c>
      <c r="H388" s="17" t="str">
        <f>IF(A388="","",IFERROR(TEXT(_xludf.maxifs(Completions!G:G,Completions!A:A,A388),"yyyy-mm-dd hh:mm"),"—"))</f>
        <v/>
      </c>
    </row>
    <row r="389" spans="1:8" ht="21.75" customHeight="1" x14ac:dyDescent="0.2">
      <c r="A389" s="16" t="str">
        <f>IFERROR(IF(Members!A386="","",Members!A386),"")</f>
        <v/>
      </c>
      <c r="B389" s="16" t="str">
        <f>IFERROR(IF(Members!A386="","",Members!B386),"")</f>
        <v/>
      </c>
      <c r="C389" s="16" t="str">
        <f>IFERROR(IF(Members!A386="","",Members!C386),"")</f>
        <v/>
      </c>
      <c r="D389" s="16" t="str">
        <f>IFERROR(IF(Members!A386="","",Members!D386),"")</f>
        <v/>
      </c>
      <c r="E389" s="16" t="str">
        <f>IF(A389="","",COUNTIF(Completions!A:A,A389))</f>
        <v/>
      </c>
      <c r="F389" s="16" t="str">
        <f>IF(A389="","",SUMPRODUCT((Completions!A$2:A$5000=A389)*IFERROR(VLOOKUP(Completions!B$2:B$5000,$J$4:$K$18,2,FALSE()),0)))</f>
        <v/>
      </c>
      <c r="G389" s="16" t="str">
        <f t="shared" ref="G389:G452" si="6">IF(A389="","",IF(F389&gt;=20,"Gold",IF(F389&gt;=14,"Silver",IF(F389&gt;=8,"Bronze","—"))))</f>
        <v/>
      </c>
      <c r="H389" s="16" t="str">
        <f>IF(A389="","",IFERROR(TEXT(_xludf.maxifs(Completions!G:G,Completions!A:A,A389),"yyyy-mm-dd hh:mm"),"—"))</f>
        <v/>
      </c>
    </row>
    <row r="390" spans="1:8" ht="21.75" customHeight="1" x14ac:dyDescent="0.2">
      <c r="A390" s="17" t="str">
        <f>IFERROR(IF(Members!A387="","",Members!A387),"")</f>
        <v/>
      </c>
      <c r="B390" s="17" t="str">
        <f>IFERROR(IF(Members!A387="","",Members!B387),"")</f>
        <v/>
      </c>
      <c r="C390" s="17" t="str">
        <f>IFERROR(IF(Members!A387="","",Members!C387),"")</f>
        <v/>
      </c>
      <c r="D390" s="17" t="str">
        <f>IFERROR(IF(Members!A387="","",Members!D387),"")</f>
        <v/>
      </c>
      <c r="E390" s="17" t="str">
        <f>IF(A390="","",COUNTIF(Completions!A:A,A390))</f>
        <v/>
      </c>
      <c r="F390" s="17" t="str">
        <f>IF(A390="","",SUMPRODUCT((Completions!A$2:A$5000=A390)*IFERROR(VLOOKUP(Completions!B$2:B$5000,$J$4:$K$18,2,FALSE()),0)))</f>
        <v/>
      </c>
      <c r="G390" s="17" t="str">
        <f t="shared" si="6"/>
        <v/>
      </c>
      <c r="H390" s="17" t="str">
        <f>IF(A390="","",IFERROR(TEXT(_xludf.maxifs(Completions!G:G,Completions!A:A,A390),"yyyy-mm-dd hh:mm"),"—"))</f>
        <v/>
      </c>
    </row>
    <row r="391" spans="1:8" ht="21.75" customHeight="1" x14ac:dyDescent="0.2">
      <c r="A391" s="16" t="str">
        <f>IFERROR(IF(Members!A388="","",Members!A388),"")</f>
        <v/>
      </c>
      <c r="B391" s="16" t="str">
        <f>IFERROR(IF(Members!A388="","",Members!B388),"")</f>
        <v/>
      </c>
      <c r="C391" s="16" t="str">
        <f>IFERROR(IF(Members!A388="","",Members!C388),"")</f>
        <v/>
      </c>
      <c r="D391" s="16" t="str">
        <f>IFERROR(IF(Members!A388="","",Members!D388),"")</f>
        <v/>
      </c>
      <c r="E391" s="16" t="str">
        <f>IF(A391="","",COUNTIF(Completions!A:A,A391))</f>
        <v/>
      </c>
      <c r="F391" s="16" t="str">
        <f>IF(A391="","",SUMPRODUCT((Completions!A$2:A$5000=A391)*IFERROR(VLOOKUP(Completions!B$2:B$5000,$J$4:$K$18,2,FALSE()),0)))</f>
        <v/>
      </c>
      <c r="G391" s="16" t="str">
        <f t="shared" si="6"/>
        <v/>
      </c>
      <c r="H391" s="16" t="str">
        <f>IF(A391="","",IFERROR(TEXT(_xludf.maxifs(Completions!G:G,Completions!A:A,A391),"yyyy-mm-dd hh:mm"),"—"))</f>
        <v/>
      </c>
    </row>
    <row r="392" spans="1:8" ht="21.75" customHeight="1" x14ac:dyDescent="0.2">
      <c r="A392" s="17" t="str">
        <f>IFERROR(IF(Members!A389="","",Members!A389),"")</f>
        <v/>
      </c>
      <c r="B392" s="17" t="str">
        <f>IFERROR(IF(Members!A389="","",Members!B389),"")</f>
        <v/>
      </c>
      <c r="C392" s="17" t="str">
        <f>IFERROR(IF(Members!A389="","",Members!C389),"")</f>
        <v/>
      </c>
      <c r="D392" s="17" t="str">
        <f>IFERROR(IF(Members!A389="","",Members!D389),"")</f>
        <v/>
      </c>
      <c r="E392" s="17" t="str">
        <f>IF(A392="","",COUNTIF(Completions!A:A,A392))</f>
        <v/>
      </c>
      <c r="F392" s="17" t="str">
        <f>IF(A392="","",SUMPRODUCT((Completions!A$2:A$5000=A392)*IFERROR(VLOOKUP(Completions!B$2:B$5000,$J$4:$K$18,2,FALSE()),0)))</f>
        <v/>
      </c>
      <c r="G392" s="17" t="str">
        <f t="shared" si="6"/>
        <v/>
      </c>
      <c r="H392" s="17" t="str">
        <f>IF(A392="","",IFERROR(TEXT(_xludf.maxifs(Completions!G:G,Completions!A:A,A392),"yyyy-mm-dd hh:mm"),"—"))</f>
        <v/>
      </c>
    </row>
    <row r="393" spans="1:8" ht="21.75" customHeight="1" x14ac:dyDescent="0.2">
      <c r="A393" s="16" t="str">
        <f>IFERROR(IF(Members!A390="","",Members!A390),"")</f>
        <v/>
      </c>
      <c r="B393" s="16" t="str">
        <f>IFERROR(IF(Members!A390="","",Members!B390),"")</f>
        <v/>
      </c>
      <c r="C393" s="16" t="str">
        <f>IFERROR(IF(Members!A390="","",Members!C390),"")</f>
        <v/>
      </c>
      <c r="D393" s="16" t="str">
        <f>IFERROR(IF(Members!A390="","",Members!D390),"")</f>
        <v/>
      </c>
      <c r="E393" s="16" t="str">
        <f>IF(A393="","",COUNTIF(Completions!A:A,A393))</f>
        <v/>
      </c>
      <c r="F393" s="16" t="str">
        <f>IF(A393="","",SUMPRODUCT((Completions!A$2:A$5000=A393)*IFERROR(VLOOKUP(Completions!B$2:B$5000,$J$4:$K$18,2,FALSE()),0)))</f>
        <v/>
      </c>
      <c r="G393" s="16" t="str">
        <f t="shared" si="6"/>
        <v/>
      </c>
      <c r="H393" s="16" t="str">
        <f>IF(A393="","",IFERROR(TEXT(_xludf.maxifs(Completions!G:G,Completions!A:A,A393),"yyyy-mm-dd hh:mm"),"—"))</f>
        <v/>
      </c>
    </row>
    <row r="394" spans="1:8" ht="21.75" customHeight="1" x14ac:dyDescent="0.2">
      <c r="A394" s="17" t="str">
        <f>IFERROR(IF(Members!A391="","",Members!A391),"")</f>
        <v/>
      </c>
      <c r="B394" s="17" t="str">
        <f>IFERROR(IF(Members!A391="","",Members!B391),"")</f>
        <v/>
      </c>
      <c r="C394" s="17" t="str">
        <f>IFERROR(IF(Members!A391="","",Members!C391),"")</f>
        <v/>
      </c>
      <c r="D394" s="17" t="str">
        <f>IFERROR(IF(Members!A391="","",Members!D391),"")</f>
        <v/>
      </c>
      <c r="E394" s="17" t="str">
        <f>IF(A394="","",COUNTIF(Completions!A:A,A394))</f>
        <v/>
      </c>
      <c r="F394" s="17" t="str">
        <f>IF(A394="","",SUMPRODUCT((Completions!A$2:A$5000=A394)*IFERROR(VLOOKUP(Completions!B$2:B$5000,$J$4:$K$18,2,FALSE()),0)))</f>
        <v/>
      </c>
      <c r="G394" s="17" t="str">
        <f t="shared" si="6"/>
        <v/>
      </c>
      <c r="H394" s="17" t="str">
        <f>IF(A394="","",IFERROR(TEXT(_xludf.maxifs(Completions!G:G,Completions!A:A,A394),"yyyy-mm-dd hh:mm"),"—"))</f>
        <v/>
      </c>
    </row>
    <row r="395" spans="1:8" ht="21.75" customHeight="1" x14ac:dyDescent="0.2">
      <c r="A395" s="16" t="str">
        <f>IFERROR(IF(Members!A392="","",Members!A392),"")</f>
        <v/>
      </c>
      <c r="B395" s="16" t="str">
        <f>IFERROR(IF(Members!A392="","",Members!B392),"")</f>
        <v/>
      </c>
      <c r="C395" s="16" t="str">
        <f>IFERROR(IF(Members!A392="","",Members!C392),"")</f>
        <v/>
      </c>
      <c r="D395" s="16" t="str">
        <f>IFERROR(IF(Members!A392="","",Members!D392),"")</f>
        <v/>
      </c>
      <c r="E395" s="16" t="str">
        <f>IF(A395="","",COUNTIF(Completions!A:A,A395))</f>
        <v/>
      </c>
      <c r="F395" s="16" t="str">
        <f>IF(A395="","",SUMPRODUCT((Completions!A$2:A$5000=A395)*IFERROR(VLOOKUP(Completions!B$2:B$5000,$J$4:$K$18,2,FALSE()),0)))</f>
        <v/>
      </c>
      <c r="G395" s="16" t="str">
        <f t="shared" si="6"/>
        <v/>
      </c>
      <c r="H395" s="16" t="str">
        <f>IF(A395="","",IFERROR(TEXT(_xludf.maxifs(Completions!G:G,Completions!A:A,A395),"yyyy-mm-dd hh:mm"),"—"))</f>
        <v/>
      </c>
    </row>
    <row r="396" spans="1:8" ht="21.75" customHeight="1" x14ac:dyDescent="0.2">
      <c r="A396" s="17" t="str">
        <f>IFERROR(IF(Members!A393="","",Members!A393),"")</f>
        <v/>
      </c>
      <c r="B396" s="17" t="str">
        <f>IFERROR(IF(Members!A393="","",Members!B393),"")</f>
        <v/>
      </c>
      <c r="C396" s="17" t="str">
        <f>IFERROR(IF(Members!A393="","",Members!C393),"")</f>
        <v/>
      </c>
      <c r="D396" s="17" t="str">
        <f>IFERROR(IF(Members!A393="","",Members!D393),"")</f>
        <v/>
      </c>
      <c r="E396" s="17" t="str">
        <f>IF(A396="","",COUNTIF(Completions!A:A,A396))</f>
        <v/>
      </c>
      <c r="F396" s="17" t="str">
        <f>IF(A396="","",SUMPRODUCT((Completions!A$2:A$5000=A396)*IFERROR(VLOOKUP(Completions!B$2:B$5000,$J$4:$K$18,2,FALSE()),0)))</f>
        <v/>
      </c>
      <c r="G396" s="17" t="str">
        <f t="shared" si="6"/>
        <v/>
      </c>
      <c r="H396" s="17" t="str">
        <f>IF(A396="","",IFERROR(TEXT(_xludf.maxifs(Completions!G:G,Completions!A:A,A396),"yyyy-mm-dd hh:mm"),"—"))</f>
        <v/>
      </c>
    </row>
    <row r="397" spans="1:8" ht="21.75" customHeight="1" x14ac:dyDescent="0.2">
      <c r="A397" s="16" t="str">
        <f>IFERROR(IF(Members!A394="","",Members!A394),"")</f>
        <v/>
      </c>
      <c r="B397" s="16" t="str">
        <f>IFERROR(IF(Members!A394="","",Members!B394),"")</f>
        <v/>
      </c>
      <c r="C397" s="16" t="str">
        <f>IFERROR(IF(Members!A394="","",Members!C394),"")</f>
        <v/>
      </c>
      <c r="D397" s="16" t="str">
        <f>IFERROR(IF(Members!A394="","",Members!D394),"")</f>
        <v/>
      </c>
      <c r="E397" s="16" t="str">
        <f>IF(A397="","",COUNTIF(Completions!A:A,A397))</f>
        <v/>
      </c>
      <c r="F397" s="16" t="str">
        <f>IF(A397="","",SUMPRODUCT((Completions!A$2:A$5000=A397)*IFERROR(VLOOKUP(Completions!B$2:B$5000,$J$4:$K$18,2,FALSE()),0)))</f>
        <v/>
      </c>
      <c r="G397" s="16" t="str">
        <f t="shared" si="6"/>
        <v/>
      </c>
      <c r="H397" s="16" t="str">
        <f>IF(A397="","",IFERROR(TEXT(_xludf.maxifs(Completions!G:G,Completions!A:A,A397),"yyyy-mm-dd hh:mm"),"—"))</f>
        <v/>
      </c>
    </row>
    <row r="398" spans="1:8" ht="21.75" customHeight="1" x14ac:dyDescent="0.2">
      <c r="A398" s="17" t="str">
        <f>IFERROR(IF(Members!A395="","",Members!A395),"")</f>
        <v/>
      </c>
      <c r="B398" s="17" t="str">
        <f>IFERROR(IF(Members!A395="","",Members!B395),"")</f>
        <v/>
      </c>
      <c r="C398" s="17" t="str">
        <f>IFERROR(IF(Members!A395="","",Members!C395),"")</f>
        <v/>
      </c>
      <c r="D398" s="17" t="str">
        <f>IFERROR(IF(Members!A395="","",Members!D395),"")</f>
        <v/>
      </c>
      <c r="E398" s="17" t="str">
        <f>IF(A398="","",COUNTIF(Completions!A:A,A398))</f>
        <v/>
      </c>
      <c r="F398" s="17" t="str">
        <f>IF(A398="","",SUMPRODUCT((Completions!A$2:A$5000=A398)*IFERROR(VLOOKUP(Completions!B$2:B$5000,$J$4:$K$18,2,FALSE()),0)))</f>
        <v/>
      </c>
      <c r="G398" s="17" t="str">
        <f t="shared" si="6"/>
        <v/>
      </c>
      <c r="H398" s="17" t="str">
        <f>IF(A398="","",IFERROR(TEXT(_xludf.maxifs(Completions!G:G,Completions!A:A,A398),"yyyy-mm-dd hh:mm"),"—"))</f>
        <v/>
      </c>
    </row>
    <row r="399" spans="1:8" ht="21.75" customHeight="1" x14ac:dyDescent="0.2">
      <c r="A399" s="16" t="str">
        <f>IFERROR(IF(Members!A396="","",Members!A396),"")</f>
        <v/>
      </c>
      <c r="B399" s="16" t="str">
        <f>IFERROR(IF(Members!A396="","",Members!B396),"")</f>
        <v/>
      </c>
      <c r="C399" s="16" t="str">
        <f>IFERROR(IF(Members!A396="","",Members!C396),"")</f>
        <v/>
      </c>
      <c r="D399" s="16" t="str">
        <f>IFERROR(IF(Members!A396="","",Members!D396),"")</f>
        <v/>
      </c>
      <c r="E399" s="16" t="str">
        <f>IF(A399="","",COUNTIF(Completions!A:A,A399))</f>
        <v/>
      </c>
      <c r="F399" s="16" t="str">
        <f>IF(A399="","",SUMPRODUCT((Completions!A$2:A$5000=A399)*IFERROR(VLOOKUP(Completions!B$2:B$5000,$J$4:$K$18,2,FALSE()),0)))</f>
        <v/>
      </c>
      <c r="G399" s="16" t="str">
        <f t="shared" si="6"/>
        <v/>
      </c>
      <c r="H399" s="16" t="str">
        <f>IF(A399="","",IFERROR(TEXT(_xludf.maxifs(Completions!G:G,Completions!A:A,A399),"yyyy-mm-dd hh:mm"),"—"))</f>
        <v/>
      </c>
    </row>
    <row r="400" spans="1:8" ht="21.75" customHeight="1" x14ac:dyDescent="0.2">
      <c r="A400" s="17" t="str">
        <f>IFERROR(IF(Members!A397="","",Members!A397),"")</f>
        <v/>
      </c>
      <c r="B400" s="17" t="str">
        <f>IFERROR(IF(Members!A397="","",Members!B397),"")</f>
        <v/>
      </c>
      <c r="C400" s="17" t="str">
        <f>IFERROR(IF(Members!A397="","",Members!C397),"")</f>
        <v/>
      </c>
      <c r="D400" s="17" t="str">
        <f>IFERROR(IF(Members!A397="","",Members!D397),"")</f>
        <v/>
      </c>
      <c r="E400" s="17" t="str">
        <f>IF(A400="","",COUNTIF(Completions!A:A,A400))</f>
        <v/>
      </c>
      <c r="F400" s="17" t="str">
        <f>IF(A400="","",SUMPRODUCT((Completions!A$2:A$5000=A400)*IFERROR(VLOOKUP(Completions!B$2:B$5000,$J$4:$K$18,2,FALSE()),0)))</f>
        <v/>
      </c>
      <c r="G400" s="17" t="str">
        <f t="shared" si="6"/>
        <v/>
      </c>
      <c r="H400" s="17" t="str">
        <f>IF(A400="","",IFERROR(TEXT(_xludf.maxifs(Completions!G:G,Completions!A:A,A400),"yyyy-mm-dd hh:mm"),"—"))</f>
        <v/>
      </c>
    </row>
    <row r="401" spans="1:8" ht="21.75" customHeight="1" x14ac:dyDescent="0.2">
      <c r="A401" s="16" t="str">
        <f>IFERROR(IF(Members!A398="","",Members!A398),"")</f>
        <v/>
      </c>
      <c r="B401" s="16" t="str">
        <f>IFERROR(IF(Members!A398="","",Members!B398),"")</f>
        <v/>
      </c>
      <c r="C401" s="16" t="str">
        <f>IFERROR(IF(Members!A398="","",Members!C398),"")</f>
        <v/>
      </c>
      <c r="D401" s="16" t="str">
        <f>IFERROR(IF(Members!A398="","",Members!D398),"")</f>
        <v/>
      </c>
      <c r="E401" s="16" t="str">
        <f>IF(A401="","",COUNTIF(Completions!A:A,A401))</f>
        <v/>
      </c>
      <c r="F401" s="16" t="str">
        <f>IF(A401="","",SUMPRODUCT((Completions!A$2:A$5000=A401)*IFERROR(VLOOKUP(Completions!B$2:B$5000,$J$4:$K$18,2,FALSE()),0)))</f>
        <v/>
      </c>
      <c r="G401" s="16" t="str">
        <f t="shared" si="6"/>
        <v/>
      </c>
      <c r="H401" s="16" t="str">
        <f>IF(A401="","",IFERROR(TEXT(_xludf.maxifs(Completions!G:G,Completions!A:A,A401),"yyyy-mm-dd hh:mm"),"—"))</f>
        <v/>
      </c>
    </row>
    <row r="402" spans="1:8" ht="21.75" customHeight="1" x14ac:dyDescent="0.2">
      <c r="A402" s="17" t="str">
        <f>IFERROR(IF(Members!A399="","",Members!A399),"")</f>
        <v/>
      </c>
      <c r="B402" s="17" t="str">
        <f>IFERROR(IF(Members!A399="","",Members!B399),"")</f>
        <v/>
      </c>
      <c r="C402" s="17" t="str">
        <f>IFERROR(IF(Members!A399="","",Members!C399),"")</f>
        <v/>
      </c>
      <c r="D402" s="17" t="str">
        <f>IFERROR(IF(Members!A399="","",Members!D399),"")</f>
        <v/>
      </c>
      <c r="E402" s="17" t="str">
        <f>IF(A402="","",COUNTIF(Completions!A:A,A402))</f>
        <v/>
      </c>
      <c r="F402" s="17" t="str">
        <f>IF(A402="","",SUMPRODUCT((Completions!A$2:A$5000=A402)*IFERROR(VLOOKUP(Completions!B$2:B$5000,$J$4:$K$18,2,FALSE()),0)))</f>
        <v/>
      </c>
      <c r="G402" s="17" t="str">
        <f t="shared" si="6"/>
        <v/>
      </c>
      <c r="H402" s="17" t="str">
        <f>IF(A402="","",IFERROR(TEXT(_xludf.maxifs(Completions!G:G,Completions!A:A,A402),"yyyy-mm-dd hh:mm"),"—"))</f>
        <v/>
      </c>
    </row>
    <row r="403" spans="1:8" ht="21.75" customHeight="1" x14ac:dyDescent="0.2">
      <c r="A403" s="16" t="str">
        <f>IFERROR(IF(Members!A400="","",Members!A400),"")</f>
        <v/>
      </c>
      <c r="B403" s="16" t="str">
        <f>IFERROR(IF(Members!A400="","",Members!B400),"")</f>
        <v/>
      </c>
      <c r="C403" s="16" t="str">
        <f>IFERROR(IF(Members!A400="","",Members!C400),"")</f>
        <v/>
      </c>
      <c r="D403" s="16" t="str">
        <f>IFERROR(IF(Members!A400="","",Members!D400),"")</f>
        <v/>
      </c>
      <c r="E403" s="16" t="str">
        <f>IF(A403="","",COUNTIF(Completions!A:A,A403))</f>
        <v/>
      </c>
      <c r="F403" s="16" t="str">
        <f>IF(A403="","",SUMPRODUCT((Completions!A$2:A$5000=A403)*IFERROR(VLOOKUP(Completions!B$2:B$5000,$J$4:$K$18,2,FALSE()),0)))</f>
        <v/>
      </c>
      <c r="G403" s="16" t="str">
        <f t="shared" si="6"/>
        <v/>
      </c>
      <c r="H403" s="16" t="str">
        <f>IF(A403="","",IFERROR(TEXT(_xludf.maxifs(Completions!G:G,Completions!A:A,A403),"yyyy-mm-dd hh:mm"),"—"))</f>
        <v/>
      </c>
    </row>
    <row r="404" spans="1:8" ht="21.75" customHeight="1" x14ac:dyDescent="0.2">
      <c r="A404" s="17" t="str">
        <f>IFERROR(IF(Members!A401="","",Members!A401),"")</f>
        <v/>
      </c>
      <c r="B404" s="17" t="str">
        <f>IFERROR(IF(Members!A401="","",Members!B401),"")</f>
        <v/>
      </c>
      <c r="C404" s="17" t="str">
        <f>IFERROR(IF(Members!A401="","",Members!C401),"")</f>
        <v/>
      </c>
      <c r="D404" s="17" t="str">
        <f>IFERROR(IF(Members!A401="","",Members!D401),"")</f>
        <v/>
      </c>
      <c r="E404" s="17" t="str">
        <f>IF(A404="","",COUNTIF(Completions!A:A,A404))</f>
        <v/>
      </c>
      <c r="F404" s="17" t="str">
        <f>IF(A404="","",SUMPRODUCT((Completions!A$2:A$5000=A404)*IFERROR(VLOOKUP(Completions!B$2:B$5000,$J$4:$K$18,2,FALSE()),0)))</f>
        <v/>
      </c>
      <c r="G404" s="17" t="str">
        <f t="shared" si="6"/>
        <v/>
      </c>
      <c r="H404" s="17" t="str">
        <f>IF(A404="","",IFERROR(TEXT(_xludf.maxifs(Completions!G:G,Completions!A:A,A404),"yyyy-mm-dd hh:mm"),"—"))</f>
        <v/>
      </c>
    </row>
    <row r="405" spans="1:8" ht="21.75" customHeight="1" x14ac:dyDescent="0.2">
      <c r="A405" s="16" t="str">
        <f>IFERROR(IF(Members!A402="","",Members!A402),"")</f>
        <v/>
      </c>
      <c r="B405" s="16" t="str">
        <f>IFERROR(IF(Members!A402="","",Members!B402),"")</f>
        <v/>
      </c>
      <c r="C405" s="16" t="str">
        <f>IFERROR(IF(Members!A402="","",Members!C402),"")</f>
        <v/>
      </c>
      <c r="D405" s="16" t="str">
        <f>IFERROR(IF(Members!A402="","",Members!D402),"")</f>
        <v/>
      </c>
      <c r="E405" s="16" t="str">
        <f>IF(A405="","",COUNTIF(Completions!A:A,A405))</f>
        <v/>
      </c>
      <c r="F405" s="16" t="str">
        <f>IF(A405="","",SUMPRODUCT((Completions!A$2:A$5000=A405)*IFERROR(VLOOKUP(Completions!B$2:B$5000,$J$4:$K$18,2,FALSE()),0)))</f>
        <v/>
      </c>
      <c r="G405" s="16" t="str">
        <f t="shared" si="6"/>
        <v/>
      </c>
      <c r="H405" s="16" t="str">
        <f>IF(A405="","",IFERROR(TEXT(_xludf.maxifs(Completions!G:G,Completions!A:A,A405),"yyyy-mm-dd hh:mm"),"—"))</f>
        <v/>
      </c>
    </row>
    <row r="406" spans="1:8" ht="21.75" customHeight="1" x14ac:dyDescent="0.2">
      <c r="A406" s="17" t="str">
        <f>IFERROR(IF(Members!A403="","",Members!A403),"")</f>
        <v/>
      </c>
      <c r="B406" s="17" t="str">
        <f>IFERROR(IF(Members!A403="","",Members!B403),"")</f>
        <v/>
      </c>
      <c r="C406" s="17" t="str">
        <f>IFERROR(IF(Members!A403="","",Members!C403),"")</f>
        <v/>
      </c>
      <c r="D406" s="17" t="str">
        <f>IFERROR(IF(Members!A403="","",Members!D403),"")</f>
        <v/>
      </c>
      <c r="E406" s="17" t="str">
        <f>IF(A406="","",COUNTIF(Completions!A:A,A406))</f>
        <v/>
      </c>
      <c r="F406" s="17" t="str">
        <f>IF(A406="","",SUMPRODUCT((Completions!A$2:A$5000=A406)*IFERROR(VLOOKUP(Completions!B$2:B$5000,$J$4:$K$18,2,FALSE()),0)))</f>
        <v/>
      </c>
      <c r="G406" s="17" t="str">
        <f t="shared" si="6"/>
        <v/>
      </c>
      <c r="H406" s="17" t="str">
        <f>IF(A406="","",IFERROR(TEXT(_xludf.maxifs(Completions!G:G,Completions!A:A,A406),"yyyy-mm-dd hh:mm"),"—"))</f>
        <v/>
      </c>
    </row>
    <row r="407" spans="1:8" ht="21.75" customHeight="1" x14ac:dyDescent="0.2">
      <c r="A407" s="16" t="str">
        <f>IFERROR(IF(Members!A404="","",Members!A404),"")</f>
        <v/>
      </c>
      <c r="B407" s="16" t="str">
        <f>IFERROR(IF(Members!A404="","",Members!B404),"")</f>
        <v/>
      </c>
      <c r="C407" s="16" t="str">
        <f>IFERROR(IF(Members!A404="","",Members!C404),"")</f>
        <v/>
      </c>
      <c r="D407" s="16" t="str">
        <f>IFERROR(IF(Members!A404="","",Members!D404),"")</f>
        <v/>
      </c>
      <c r="E407" s="16" t="str">
        <f>IF(A407="","",COUNTIF(Completions!A:A,A407))</f>
        <v/>
      </c>
      <c r="F407" s="16" t="str">
        <f>IF(A407="","",SUMPRODUCT((Completions!A$2:A$5000=A407)*IFERROR(VLOOKUP(Completions!B$2:B$5000,$J$4:$K$18,2,FALSE()),0)))</f>
        <v/>
      </c>
      <c r="G407" s="16" t="str">
        <f t="shared" si="6"/>
        <v/>
      </c>
      <c r="H407" s="16" t="str">
        <f>IF(A407="","",IFERROR(TEXT(_xludf.maxifs(Completions!G:G,Completions!A:A,A407),"yyyy-mm-dd hh:mm"),"—"))</f>
        <v/>
      </c>
    </row>
    <row r="408" spans="1:8" ht="21.75" customHeight="1" x14ac:dyDescent="0.2">
      <c r="A408" s="17" t="str">
        <f>IFERROR(IF(Members!A405="","",Members!A405),"")</f>
        <v/>
      </c>
      <c r="B408" s="17" t="str">
        <f>IFERROR(IF(Members!A405="","",Members!B405),"")</f>
        <v/>
      </c>
      <c r="C408" s="17" t="str">
        <f>IFERROR(IF(Members!A405="","",Members!C405),"")</f>
        <v/>
      </c>
      <c r="D408" s="17" t="str">
        <f>IFERROR(IF(Members!A405="","",Members!D405),"")</f>
        <v/>
      </c>
      <c r="E408" s="17" t="str">
        <f>IF(A408="","",COUNTIF(Completions!A:A,A408))</f>
        <v/>
      </c>
      <c r="F408" s="17" t="str">
        <f>IF(A408="","",SUMPRODUCT((Completions!A$2:A$5000=A408)*IFERROR(VLOOKUP(Completions!B$2:B$5000,$J$4:$K$18,2,FALSE()),0)))</f>
        <v/>
      </c>
      <c r="G408" s="17" t="str">
        <f t="shared" si="6"/>
        <v/>
      </c>
      <c r="H408" s="17" t="str">
        <f>IF(A408="","",IFERROR(TEXT(_xludf.maxifs(Completions!G:G,Completions!A:A,A408),"yyyy-mm-dd hh:mm"),"—"))</f>
        <v/>
      </c>
    </row>
    <row r="409" spans="1:8" ht="21.75" customHeight="1" x14ac:dyDescent="0.2">
      <c r="A409" s="16" t="str">
        <f>IFERROR(IF(Members!A406="","",Members!A406),"")</f>
        <v/>
      </c>
      <c r="B409" s="16" t="str">
        <f>IFERROR(IF(Members!A406="","",Members!B406),"")</f>
        <v/>
      </c>
      <c r="C409" s="16" t="str">
        <f>IFERROR(IF(Members!A406="","",Members!C406),"")</f>
        <v/>
      </c>
      <c r="D409" s="16" t="str">
        <f>IFERROR(IF(Members!A406="","",Members!D406),"")</f>
        <v/>
      </c>
      <c r="E409" s="16" t="str">
        <f>IF(A409="","",COUNTIF(Completions!A:A,A409))</f>
        <v/>
      </c>
      <c r="F409" s="16" t="str">
        <f>IF(A409="","",SUMPRODUCT((Completions!A$2:A$5000=A409)*IFERROR(VLOOKUP(Completions!B$2:B$5000,$J$4:$K$18,2,FALSE()),0)))</f>
        <v/>
      </c>
      <c r="G409" s="16" t="str">
        <f t="shared" si="6"/>
        <v/>
      </c>
      <c r="H409" s="16" t="str">
        <f>IF(A409="","",IFERROR(TEXT(_xludf.maxifs(Completions!G:G,Completions!A:A,A409),"yyyy-mm-dd hh:mm"),"—"))</f>
        <v/>
      </c>
    </row>
    <row r="410" spans="1:8" ht="21.75" customHeight="1" x14ac:dyDescent="0.2">
      <c r="A410" s="17" t="str">
        <f>IFERROR(IF(Members!A407="","",Members!A407),"")</f>
        <v/>
      </c>
      <c r="B410" s="17" t="str">
        <f>IFERROR(IF(Members!A407="","",Members!B407),"")</f>
        <v/>
      </c>
      <c r="C410" s="17" t="str">
        <f>IFERROR(IF(Members!A407="","",Members!C407),"")</f>
        <v/>
      </c>
      <c r="D410" s="17" t="str">
        <f>IFERROR(IF(Members!A407="","",Members!D407),"")</f>
        <v/>
      </c>
      <c r="E410" s="17" t="str">
        <f>IF(A410="","",COUNTIF(Completions!A:A,A410))</f>
        <v/>
      </c>
      <c r="F410" s="17" t="str">
        <f>IF(A410="","",SUMPRODUCT((Completions!A$2:A$5000=A410)*IFERROR(VLOOKUP(Completions!B$2:B$5000,$J$4:$K$18,2,FALSE()),0)))</f>
        <v/>
      </c>
      <c r="G410" s="17" t="str">
        <f t="shared" si="6"/>
        <v/>
      </c>
      <c r="H410" s="17" t="str">
        <f>IF(A410="","",IFERROR(TEXT(_xludf.maxifs(Completions!G:G,Completions!A:A,A410),"yyyy-mm-dd hh:mm"),"—"))</f>
        <v/>
      </c>
    </row>
    <row r="411" spans="1:8" ht="21.75" customHeight="1" x14ac:dyDescent="0.2">
      <c r="A411" s="16" t="str">
        <f>IFERROR(IF(Members!A408="","",Members!A408),"")</f>
        <v/>
      </c>
      <c r="B411" s="16" t="str">
        <f>IFERROR(IF(Members!A408="","",Members!B408),"")</f>
        <v/>
      </c>
      <c r="C411" s="16" t="str">
        <f>IFERROR(IF(Members!A408="","",Members!C408),"")</f>
        <v/>
      </c>
      <c r="D411" s="16" t="str">
        <f>IFERROR(IF(Members!A408="","",Members!D408),"")</f>
        <v/>
      </c>
      <c r="E411" s="16" t="str">
        <f>IF(A411="","",COUNTIF(Completions!A:A,A411))</f>
        <v/>
      </c>
      <c r="F411" s="16" t="str">
        <f>IF(A411="","",SUMPRODUCT((Completions!A$2:A$5000=A411)*IFERROR(VLOOKUP(Completions!B$2:B$5000,$J$4:$K$18,2,FALSE()),0)))</f>
        <v/>
      </c>
      <c r="G411" s="16" t="str">
        <f t="shared" si="6"/>
        <v/>
      </c>
      <c r="H411" s="16" t="str">
        <f>IF(A411="","",IFERROR(TEXT(_xludf.maxifs(Completions!G:G,Completions!A:A,A411),"yyyy-mm-dd hh:mm"),"—"))</f>
        <v/>
      </c>
    </row>
    <row r="412" spans="1:8" ht="21.75" customHeight="1" x14ac:dyDescent="0.2">
      <c r="A412" s="17" t="str">
        <f>IFERROR(IF(Members!A409="","",Members!A409),"")</f>
        <v/>
      </c>
      <c r="B412" s="17" t="str">
        <f>IFERROR(IF(Members!A409="","",Members!B409),"")</f>
        <v/>
      </c>
      <c r="C412" s="17" t="str">
        <f>IFERROR(IF(Members!A409="","",Members!C409),"")</f>
        <v/>
      </c>
      <c r="D412" s="17" t="str">
        <f>IFERROR(IF(Members!A409="","",Members!D409),"")</f>
        <v/>
      </c>
      <c r="E412" s="17" t="str">
        <f>IF(A412="","",COUNTIF(Completions!A:A,A412))</f>
        <v/>
      </c>
      <c r="F412" s="17" t="str">
        <f>IF(A412="","",SUMPRODUCT((Completions!A$2:A$5000=A412)*IFERROR(VLOOKUP(Completions!B$2:B$5000,$J$4:$K$18,2,FALSE()),0)))</f>
        <v/>
      </c>
      <c r="G412" s="17" t="str">
        <f t="shared" si="6"/>
        <v/>
      </c>
      <c r="H412" s="17" t="str">
        <f>IF(A412="","",IFERROR(TEXT(_xludf.maxifs(Completions!G:G,Completions!A:A,A412),"yyyy-mm-dd hh:mm"),"—"))</f>
        <v/>
      </c>
    </row>
    <row r="413" spans="1:8" ht="21.75" customHeight="1" x14ac:dyDescent="0.2">
      <c r="A413" s="16" t="str">
        <f>IFERROR(IF(Members!A410="","",Members!A410),"")</f>
        <v/>
      </c>
      <c r="B413" s="16" t="str">
        <f>IFERROR(IF(Members!A410="","",Members!B410),"")</f>
        <v/>
      </c>
      <c r="C413" s="16" t="str">
        <f>IFERROR(IF(Members!A410="","",Members!C410),"")</f>
        <v/>
      </c>
      <c r="D413" s="16" t="str">
        <f>IFERROR(IF(Members!A410="","",Members!D410),"")</f>
        <v/>
      </c>
      <c r="E413" s="16" t="str">
        <f>IF(A413="","",COUNTIF(Completions!A:A,A413))</f>
        <v/>
      </c>
      <c r="F413" s="16" t="str">
        <f>IF(A413="","",SUMPRODUCT((Completions!A$2:A$5000=A413)*IFERROR(VLOOKUP(Completions!B$2:B$5000,$J$4:$K$18,2,FALSE()),0)))</f>
        <v/>
      </c>
      <c r="G413" s="16" t="str">
        <f t="shared" si="6"/>
        <v/>
      </c>
      <c r="H413" s="16" t="str">
        <f>IF(A413="","",IFERROR(TEXT(_xludf.maxifs(Completions!G:G,Completions!A:A,A413),"yyyy-mm-dd hh:mm"),"—"))</f>
        <v/>
      </c>
    </row>
    <row r="414" spans="1:8" ht="21.75" customHeight="1" x14ac:dyDescent="0.2">
      <c r="A414" s="17" t="str">
        <f>IFERROR(IF(Members!A411="","",Members!A411),"")</f>
        <v/>
      </c>
      <c r="B414" s="17" t="str">
        <f>IFERROR(IF(Members!A411="","",Members!B411),"")</f>
        <v/>
      </c>
      <c r="C414" s="17" t="str">
        <f>IFERROR(IF(Members!A411="","",Members!C411),"")</f>
        <v/>
      </c>
      <c r="D414" s="17" t="str">
        <f>IFERROR(IF(Members!A411="","",Members!D411),"")</f>
        <v/>
      </c>
      <c r="E414" s="17" t="str">
        <f>IF(A414="","",COUNTIF(Completions!A:A,A414))</f>
        <v/>
      </c>
      <c r="F414" s="17" t="str">
        <f>IF(A414="","",SUMPRODUCT((Completions!A$2:A$5000=A414)*IFERROR(VLOOKUP(Completions!B$2:B$5000,$J$4:$K$18,2,FALSE()),0)))</f>
        <v/>
      </c>
      <c r="G414" s="17" t="str">
        <f t="shared" si="6"/>
        <v/>
      </c>
      <c r="H414" s="17" t="str">
        <f>IF(A414="","",IFERROR(TEXT(_xludf.maxifs(Completions!G:G,Completions!A:A,A414),"yyyy-mm-dd hh:mm"),"—"))</f>
        <v/>
      </c>
    </row>
    <row r="415" spans="1:8" ht="21.75" customHeight="1" x14ac:dyDescent="0.2">
      <c r="A415" s="16" t="str">
        <f>IFERROR(IF(Members!A412="","",Members!A412),"")</f>
        <v/>
      </c>
      <c r="B415" s="16" t="str">
        <f>IFERROR(IF(Members!A412="","",Members!B412),"")</f>
        <v/>
      </c>
      <c r="C415" s="16" t="str">
        <f>IFERROR(IF(Members!A412="","",Members!C412),"")</f>
        <v/>
      </c>
      <c r="D415" s="16" t="str">
        <f>IFERROR(IF(Members!A412="","",Members!D412),"")</f>
        <v/>
      </c>
      <c r="E415" s="16" t="str">
        <f>IF(A415="","",COUNTIF(Completions!A:A,A415))</f>
        <v/>
      </c>
      <c r="F415" s="16" t="str">
        <f>IF(A415="","",SUMPRODUCT((Completions!A$2:A$5000=A415)*IFERROR(VLOOKUP(Completions!B$2:B$5000,$J$4:$K$18,2,FALSE()),0)))</f>
        <v/>
      </c>
      <c r="G415" s="16" t="str">
        <f t="shared" si="6"/>
        <v/>
      </c>
      <c r="H415" s="16" t="str">
        <f>IF(A415="","",IFERROR(TEXT(_xludf.maxifs(Completions!G:G,Completions!A:A,A415),"yyyy-mm-dd hh:mm"),"—"))</f>
        <v/>
      </c>
    </row>
    <row r="416" spans="1:8" ht="21.75" customHeight="1" x14ac:dyDescent="0.2">
      <c r="A416" s="17" t="str">
        <f>IFERROR(IF(Members!A413="","",Members!A413),"")</f>
        <v/>
      </c>
      <c r="B416" s="17" t="str">
        <f>IFERROR(IF(Members!A413="","",Members!B413),"")</f>
        <v/>
      </c>
      <c r="C416" s="17" t="str">
        <f>IFERROR(IF(Members!A413="","",Members!C413),"")</f>
        <v/>
      </c>
      <c r="D416" s="17" t="str">
        <f>IFERROR(IF(Members!A413="","",Members!D413),"")</f>
        <v/>
      </c>
      <c r="E416" s="17" t="str">
        <f>IF(A416="","",COUNTIF(Completions!A:A,A416))</f>
        <v/>
      </c>
      <c r="F416" s="17" t="str">
        <f>IF(A416="","",SUMPRODUCT((Completions!A$2:A$5000=A416)*IFERROR(VLOOKUP(Completions!B$2:B$5000,$J$4:$K$18,2,FALSE()),0)))</f>
        <v/>
      </c>
      <c r="G416" s="17" t="str">
        <f t="shared" si="6"/>
        <v/>
      </c>
      <c r="H416" s="17" t="str">
        <f>IF(A416="","",IFERROR(TEXT(_xludf.maxifs(Completions!G:G,Completions!A:A,A416),"yyyy-mm-dd hh:mm"),"—"))</f>
        <v/>
      </c>
    </row>
    <row r="417" spans="1:8" ht="21.75" customHeight="1" x14ac:dyDescent="0.2">
      <c r="A417" s="16" t="str">
        <f>IFERROR(IF(Members!A414="","",Members!A414),"")</f>
        <v/>
      </c>
      <c r="B417" s="16" t="str">
        <f>IFERROR(IF(Members!A414="","",Members!B414),"")</f>
        <v/>
      </c>
      <c r="C417" s="16" t="str">
        <f>IFERROR(IF(Members!A414="","",Members!C414),"")</f>
        <v/>
      </c>
      <c r="D417" s="16" t="str">
        <f>IFERROR(IF(Members!A414="","",Members!D414),"")</f>
        <v/>
      </c>
      <c r="E417" s="16" t="str">
        <f>IF(A417="","",COUNTIF(Completions!A:A,A417))</f>
        <v/>
      </c>
      <c r="F417" s="16" t="str">
        <f>IF(A417="","",SUMPRODUCT((Completions!A$2:A$5000=A417)*IFERROR(VLOOKUP(Completions!B$2:B$5000,$J$4:$K$18,2,FALSE()),0)))</f>
        <v/>
      </c>
      <c r="G417" s="16" t="str">
        <f t="shared" si="6"/>
        <v/>
      </c>
      <c r="H417" s="16" t="str">
        <f>IF(A417="","",IFERROR(TEXT(_xludf.maxifs(Completions!G:G,Completions!A:A,A417),"yyyy-mm-dd hh:mm"),"—"))</f>
        <v/>
      </c>
    </row>
    <row r="418" spans="1:8" ht="21.75" customHeight="1" x14ac:dyDescent="0.2">
      <c r="A418" s="17" t="str">
        <f>IFERROR(IF(Members!A415="","",Members!A415),"")</f>
        <v/>
      </c>
      <c r="B418" s="17" t="str">
        <f>IFERROR(IF(Members!A415="","",Members!B415),"")</f>
        <v/>
      </c>
      <c r="C418" s="17" t="str">
        <f>IFERROR(IF(Members!A415="","",Members!C415),"")</f>
        <v/>
      </c>
      <c r="D418" s="17" t="str">
        <f>IFERROR(IF(Members!A415="","",Members!D415),"")</f>
        <v/>
      </c>
      <c r="E418" s="17" t="str">
        <f>IF(A418="","",COUNTIF(Completions!A:A,A418))</f>
        <v/>
      </c>
      <c r="F418" s="17" t="str">
        <f>IF(A418="","",SUMPRODUCT((Completions!A$2:A$5000=A418)*IFERROR(VLOOKUP(Completions!B$2:B$5000,$J$4:$K$18,2,FALSE()),0)))</f>
        <v/>
      </c>
      <c r="G418" s="17" t="str">
        <f t="shared" si="6"/>
        <v/>
      </c>
      <c r="H418" s="17" t="str">
        <f>IF(A418="","",IFERROR(TEXT(_xludf.maxifs(Completions!G:G,Completions!A:A,A418),"yyyy-mm-dd hh:mm"),"—"))</f>
        <v/>
      </c>
    </row>
    <row r="419" spans="1:8" ht="21.75" customHeight="1" x14ac:dyDescent="0.2">
      <c r="A419" s="16" t="str">
        <f>IFERROR(IF(Members!A416="","",Members!A416),"")</f>
        <v/>
      </c>
      <c r="B419" s="16" t="str">
        <f>IFERROR(IF(Members!A416="","",Members!B416),"")</f>
        <v/>
      </c>
      <c r="C419" s="16" t="str">
        <f>IFERROR(IF(Members!A416="","",Members!C416),"")</f>
        <v/>
      </c>
      <c r="D419" s="16" t="str">
        <f>IFERROR(IF(Members!A416="","",Members!D416),"")</f>
        <v/>
      </c>
      <c r="E419" s="16" t="str">
        <f>IF(A419="","",COUNTIF(Completions!A:A,A419))</f>
        <v/>
      </c>
      <c r="F419" s="16" t="str">
        <f>IF(A419="","",SUMPRODUCT((Completions!A$2:A$5000=A419)*IFERROR(VLOOKUP(Completions!B$2:B$5000,$J$4:$K$18,2,FALSE()),0)))</f>
        <v/>
      </c>
      <c r="G419" s="16" t="str">
        <f t="shared" si="6"/>
        <v/>
      </c>
      <c r="H419" s="16" t="str">
        <f>IF(A419="","",IFERROR(TEXT(_xludf.maxifs(Completions!G:G,Completions!A:A,A419),"yyyy-mm-dd hh:mm"),"—"))</f>
        <v/>
      </c>
    </row>
    <row r="420" spans="1:8" ht="21.75" customHeight="1" x14ac:dyDescent="0.2">
      <c r="A420" s="17" t="str">
        <f>IFERROR(IF(Members!A417="","",Members!A417),"")</f>
        <v/>
      </c>
      <c r="B420" s="17" t="str">
        <f>IFERROR(IF(Members!A417="","",Members!B417),"")</f>
        <v/>
      </c>
      <c r="C420" s="17" t="str">
        <f>IFERROR(IF(Members!A417="","",Members!C417),"")</f>
        <v/>
      </c>
      <c r="D420" s="17" t="str">
        <f>IFERROR(IF(Members!A417="","",Members!D417),"")</f>
        <v/>
      </c>
      <c r="E420" s="17" t="str">
        <f>IF(A420="","",COUNTIF(Completions!A:A,A420))</f>
        <v/>
      </c>
      <c r="F420" s="17" t="str">
        <f>IF(A420="","",SUMPRODUCT((Completions!A$2:A$5000=A420)*IFERROR(VLOOKUP(Completions!B$2:B$5000,$J$4:$K$18,2,FALSE()),0)))</f>
        <v/>
      </c>
      <c r="G420" s="17" t="str">
        <f t="shared" si="6"/>
        <v/>
      </c>
      <c r="H420" s="17" t="str">
        <f>IF(A420="","",IFERROR(TEXT(_xludf.maxifs(Completions!G:G,Completions!A:A,A420),"yyyy-mm-dd hh:mm"),"—"))</f>
        <v/>
      </c>
    </row>
    <row r="421" spans="1:8" ht="21.75" customHeight="1" x14ac:dyDescent="0.2">
      <c r="A421" s="16" t="str">
        <f>IFERROR(IF(Members!A418="","",Members!A418),"")</f>
        <v/>
      </c>
      <c r="B421" s="16" t="str">
        <f>IFERROR(IF(Members!A418="","",Members!B418),"")</f>
        <v/>
      </c>
      <c r="C421" s="16" t="str">
        <f>IFERROR(IF(Members!A418="","",Members!C418),"")</f>
        <v/>
      </c>
      <c r="D421" s="16" t="str">
        <f>IFERROR(IF(Members!A418="","",Members!D418),"")</f>
        <v/>
      </c>
      <c r="E421" s="16" t="str">
        <f>IF(A421="","",COUNTIF(Completions!A:A,A421))</f>
        <v/>
      </c>
      <c r="F421" s="16" t="str">
        <f>IF(A421="","",SUMPRODUCT((Completions!A$2:A$5000=A421)*IFERROR(VLOOKUP(Completions!B$2:B$5000,$J$4:$K$18,2,FALSE()),0)))</f>
        <v/>
      </c>
      <c r="G421" s="16" t="str">
        <f t="shared" si="6"/>
        <v/>
      </c>
      <c r="H421" s="16" t="str">
        <f>IF(A421="","",IFERROR(TEXT(_xludf.maxifs(Completions!G:G,Completions!A:A,A421),"yyyy-mm-dd hh:mm"),"—"))</f>
        <v/>
      </c>
    </row>
    <row r="422" spans="1:8" ht="21.75" customHeight="1" x14ac:dyDescent="0.2">
      <c r="A422" s="17" t="str">
        <f>IFERROR(IF(Members!A419="","",Members!A419),"")</f>
        <v/>
      </c>
      <c r="B422" s="17" t="str">
        <f>IFERROR(IF(Members!A419="","",Members!B419),"")</f>
        <v/>
      </c>
      <c r="C422" s="17" t="str">
        <f>IFERROR(IF(Members!A419="","",Members!C419),"")</f>
        <v/>
      </c>
      <c r="D422" s="17" t="str">
        <f>IFERROR(IF(Members!A419="","",Members!D419),"")</f>
        <v/>
      </c>
      <c r="E422" s="17" t="str">
        <f>IF(A422="","",COUNTIF(Completions!A:A,A422))</f>
        <v/>
      </c>
      <c r="F422" s="17" t="str">
        <f>IF(A422="","",SUMPRODUCT((Completions!A$2:A$5000=A422)*IFERROR(VLOOKUP(Completions!B$2:B$5000,$J$4:$K$18,2,FALSE()),0)))</f>
        <v/>
      </c>
      <c r="G422" s="17" t="str">
        <f t="shared" si="6"/>
        <v/>
      </c>
      <c r="H422" s="17" t="str">
        <f>IF(A422="","",IFERROR(TEXT(_xludf.maxifs(Completions!G:G,Completions!A:A,A422),"yyyy-mm-dd hh:mm"),"—"))</f>
        <v/>
      </c>
    </row>
    <row r="423" spans="1:8" ht="21.75" customHeight="1" x14ac:dyDescent="0.2">
      <c r="A423" s="16" t="str">
        <f>IFERROR(IF(Members!A420="","",Members!A420),"")</f>
        <v/>
      </c>
      <c r="B423" s="16" t="str">
        <f>IFERROR(IF(Members!A420="","",Members!B420),"")</f>
        <v/>
      </c>
      <c r="C423" s="16" t="str">
        <f>IFERROR(IF(Members!A420="","",Members!C420),"")</f>
        <v/>
      </c>
      <c r="D423" s="16" t="str">
        <f>IFERROR(IF(Members!A420="","",Members!D420),"")</f>
        <v/>
      </c>
      <c r="E423" s="16" t="str">
        <f>IF(A423="","",COUNTIF(Completions!A:A,A423))</f>
        <v/>
      </c>
      <c r="F423" s="16" t="str">
        <f>IF(A423="","",SUMPRODUCT((Completions!A$2:A$5000=A423)*IFERROR(VLOOKUP(Completions!B$2:B$5000,$J$4:$K$18,2,FALSE()),0)))</f>
        <v/>
      </c>
      <c r="G423" s="16" t="str">
        <f t="shared" si="6"/>
        <v/>
      </c>
      <c r="H423" s="16" t="str">
        <f>IF(A423="","",IFERROR(TEXT(_xludf.maxifs(Completions!G:G,Completions!A:A,A423),"yyyy-mm-dd hh:mm"),"—"))</f>
        <v/>
      </c>
    </row>
    <row r="424" spans="1:8" ht="21.75" customHeight="1" x14ac:dyDescent="0.2">
      <c r="A424" s="17" t="str">
        <f>IFERROR(IF(Members!A421="","",Members!A421),"")</f>
        <v/>
      </c>
      <c r="B424" s="17" t="str">
        <f>IFERROR(IF(Members!A421="","",Members!B421),"")</f>
        <v/>
      </c>
      <c r="C424" s="17" t="str">
        <f>IFERROR(IF(Members!A421="","",Members!C421),"")</f>
        <v/>
      </c>
      <c r="D424" s="17" t="str">
        <f>IFERROR(IF(Members!A421="","",Members!D421),"")</f>
        <v/>
      </c>
      <c r="E424" s="17" t="str">
        <f>IF(A424="","",COUNTIF(Completions!A:A,A424))</f>
        <v/>
      </c>
      <c r="F424" s="17" t="str">
        <f>IF(A424="","",SUMPRODUCT((Completions!A$2:A$5000=A424)*IFERROR(VLOOKUP(Completions!B$2:B$5000,$J$4:$K$18,2,FALSE()),0)))</f>
        <v/>
      </c>
      <c r="G424" s="17" t="str">
        <f t="shared" si="6"/>
        <v/>
      </c>
      <c r="H424" s="17" t="str">
        <f>IF(A424="","",IFERROR(TEXT(_xludf.maxifs(Completions!G:G,Completions!A:A,A424),"yyyy-mm-dd hh:mm"),"—"))</f>
        <v/>
      </c>
    </row>
    <row r="425" spans="1:8" ht="21.75" customHeight="1" x14ac:dyDescent="0.2">
      <c r="A425" s="16" t="str">
        <f>IFERROR(IF(Members!A422="","",Members!A422),"")</f>
        <v/>
      </c>
      <c r="B425" s="16" t="str">
        <f>IFERROR(IF(Members!A422="","",Members!B422),"")</f>
        <v/>
      </c>
      <c r="C425" s="16" t="str">
        <f>IFERROR(IF(Members!A422="","",Members!C422),"")</f>
        <v/>
      </c>
      <c r="D425" s="16" t="str">
        <f>IFERROR(IF(Members!A422="","",Members!D422),"")</f>
        <v/>
      </c>
      <c r="E425" s="16" t="str">
        <f>IF(A425="","",COUNTIF(Completions!A:A,A425))</f>
        <v/>
      </c>
      <c r="F425" s="16" t="str">
        <f>IF(A425="","",SUMPRODUCT((Completions!A$2:A$5000=A425)*IFERROR(VLOOKUP(Completions!B$2:B$5000,$J$4:$K$18,2,FALSE()),0)))</f>
        <v/>
      </c>
      <c r="G425" s="16" t="str">
        <f t="shared" si="6"/>
        <v/>
      </c>
      <c r="H425" s="16" t="str">
        <f>IF(A425="","",IFERROR(TEXT(_xludf.maxifs(Completions!G:G,Completions!A:A,A425),"yyyy-mm-dd hh:mm"),"—"))</f>
        <v/>
      </c>
    </row>
    <row r="426" spans="1:8" ht="21.75" customHeight="1" x14ac:dyDescent="0.2">
      <c r="A426" s="17" t="str">
        <f>IFERROR(IF(Members!A423="","",Members!A423),"")</f>
        <v/>
      </c>
      <c r="B426" s="17" t="str">
        <f>IFERROR(IF(Members!A423="","",Members!B423),"")</f>
        <v/>
      </c>
      <c r="C426" s="17" t="str">
        <f>IFERROR(IF(Members!A423="","",Members!C423),"")</f>
        <v/>
      </c>
      <c r="D426" s="17" t="str">
        <f>IFERROR(IF(Members!A423="","",Members!D423),"")</f>
        <v/>
      </c>
      <c r="E426" s="17" t="str">
        <f>IF(A426="","",COUNTIF(Completions!A:A,A426))</f>
        <v/>
      </c>
      <c r="F426" s="17" t="str">
        <f>IF(A426="","",SUMPRODUCT((Completions!A$2:A$5000=A426)*IFERROR(VLOOKUP(Completions!B$2:B$5000,$J$4:$K$18,2,FALSE()),0)))</f>
        <v/>
      </c>
      <c r="G426" s="17" t="str">
        <f t="shared" si="6"/>
        <v/>
      </c>
      <c r="H426" s="17" t="str">
        <f>IF(A426="","",IFERROR(TEXT(_xludf.maxifs(Completions!G:G,Completions!A:A,A426),"yyyy-mm-dd hh:mm"),"—"))</f>
        <v/>
      </c>
    </row>
    <row r="427" spans="1:8" ht="21.75" customHeight="1" x14ac:dyDescent="0.2">
      <c r="A427" s="16" t="str">
        <f>IFERROR(IF(Members!A424="","",Members!A424),"")</f>
        <v/>
      </c>
      <c r="B427" s="16" t="str">
        <f>IFERROR(IF(Members!A424="","",Members!B424),"")</f>
        <v/>
      </c>
      <c r="C427" s="16" t="str">
        <f>IFERROR(IF(Members!A424="","",Members!C424),"")</f>
        <v/>
      </c>
      <c r="D427" s="16" t="str">
        <f>IFERROR(IF(Members!A424="","",Members!D424),"")</f>
        <v/>
      </c>
      <c r="E427" s="16" t="str">
        <f>IF(A427="","",COUNTIF(Completions!A:A,A427))</f>
        <v/>
      </c>
      <c r="F427" s="16" t="str">
        <f>IF(A427="","",SUMPRODUCT((Completions!A$2:A$5000=A427)*IFERROR(VLOOKUP(Completions!B$2:B$5000,$J$4:$K$18,2,FALSE()),0)))</f>
        <v/>
      </c>
      <c r="G427" s="16" t="str">
        <f t="shared" si="6"/>
        <v/>
      </c>
      <c r="H427" s="16" t="str">
        <f>IF(A427="","",IFERROR(TEXT(_xludf.maxifs(Completions!G:G,Completions!A:A,A427),"yyyy-mm-dd hh:mm"),"—"))</f>
        <v/>
      </c>
    </row>
    <row r="428" spans="1:8" ht="21.75" customHeight="1" x14ac:dyDescent="0.2">
      <c r="A428" s="17" t="str">
        <f>IFERROR(IF(Members!A425="","",Members!A425),"")</f>
        <v/>
      </c>
      <c r="B428" s="17" t="str">
        <f>IFERROR(IF(Members!A425="","",Members!B425),"")</f>
        <v/>
      </c>
      <c r="C428" s="17" t="str">
        <f>IFERROR(IF(Members!A425="","",Members!C425),"")</f>
        <v/>
      </c>
      <c r="D428" s="17" t="str">
        <f>IFERROR(IF(Members!A425="","",Members!D425),"")</f>
        <v/>
      </c>
      <c r="E428" s="17" t="str">
        <f>IF(A428="","",COUNTIF(Completions!A:A,A428))</f>
        <v/>
      </c>
      <c r="F428" s="17" t="str">
        <f>IF(A428="","",SUMPRODUCT((Completions!A$2:A$5000=A428)*IFERROR(VLOOKUP(Completions!B$2:B$5000,$J$4:$K$18,2,FALSE()),0)))</f>
        <v/>
      </c>
      <c r="G428" s="17" t="str">
        <f t="shared" si="6"/>
        <v/>
      </c>
      <c r="H428" s="17" t="str">
        <f>IF(A428="","",IFERROR(TEXT(_xludf.maxifs(Completions!G:G,Completions!A:A,A428),"yyyy-mm-dd hh:mm"),"—"))</f>
        <v/>
      </c>
    </row>
    <row r="429" spans="1:8" ht="21.75" customHeight="1" x14ac:dyDescent="0.2">
      <c r="A429" s="16" t="str">
        <f>IFERROR(IF(Members!A426="","",Members!A426),"")</f>
        <v/>
      </c>
      <c r="B429" s="16" t="str">
        <f>IFERROR(IF(Members!A426="","",Members!B426),"")</f>
        <v/>
      </c>
      <c r="C429" s="16" t="str">
        <f>IFERROR(IF(Members!A426="","",Members!C426),"")</f>
        <v/>
      </c>
      <c r="D429" s="16" t="str">
        <f>IFERROR(IF(Members!A426="","",Members!D426),"")</f>
        <v/>
      </c>
      <c r="E429" s="16" t="str">
        <f>IF(A429="","",COUNTIF(Completions!A:A,A429))</f>
        <v/>
      </c>
      <c r="F429" s="16" t="str">
        <f>IF(A429="","",SUMPRODUCT((Completions!A$2:A$5000=A429)*IFERROR(VLOOKUP(Completions!B$2:B$5000,$J$4:$K$18,2,FALSE()),0)))</f>
        <v/>
      </c>
      <c r="G429" s="16" t="str">
        <f t="shared" si="6"/>
        <v/>
      </c>
      <c r="H429" s="16" t="str">
        <f>IF(A429="","",IFERROR(TEXT(_xludf.maxifs(Completions!G:G,Completions!A:A,A429),"yyyy-mm-dd hh:mm"),"—"))</f>
        <v/>
      </c>
    </row>
    <row r="430" spans="1:8" ht="21.75" customHeight="1" x14ac:dyDescent="0.2">
      <c r="A430" s="17" t="str">
        <f>IFERROR(IF(Members!A427="","",Members!A427),"")</f>
        <v/>
      </c>
      <c r="B430" s="17" t="str">
        <f>IFERROR(IF(Members!A427="","",Members!B427),"")</f>
        <v/>
      </c>
      <c r="C430" s="17" t="str">
        <f>IFERROR(IF(Members!A427="","",Members!C427),"")</f>
        <v/>
      </c>
      <c r="D430" s="17" t="str">
        <f>IFERROR(IF(Members!A427="","",Members!D427),"")</f>
        <v/>
      </c>
      <c r="E430" s="17" t="str">
        <f>IF(A430="","",COUNTIF(Completions!A:A,A430))</f>
        <v/>
      </c>
      <c r="F430" s="17" t="str">
        <f>IF(A430="","",SUMPRODUCT((Completions!A$2:A$5000=A430)*IFERROR(VLOOKUP(Completions!B$2:B$5000,$J$4:$K$18,2,FALSE()),0)))</f>
        <v/>
      </c>
      <c r="G430" s="17" t="str">
        <f t="shared" si="6"/>
        <v/>
      </c>
      <c r="H430" s="17" t="str">
        <f>IF(A430="","",IFERROR(TEXT(_xludf.maxifs(Completions!G:G,Completions!A:A,A430),"yyyy-mm-dd hh:mm"),"—"))</f>
        <v/>
      </c>
    </row>
    <row r="431" spans="1:8" ht="21.75" customHeight="1" x14ac:dyDescent="0.2">
      <c r="A431" s="16" t="str">
        <f>IFERROR(IF(Members!A428="","",Members!A428),"")</f>
        <v/>
      </c>
      <c r="B431" s="16" t="str">
        <f>IFERROR(IF(Members!A428="","",Members!B428),"")</f>
        <v/>
      </c>
      <c r="C431" s="16" t="str">
        <f>IFERROR(IF(Members!A428="","",Members!C428),"")</f>
        <v/>
      </c>
      <c r="D431" s="16" t="str">
        <f>IFERROR(IF(Members!A428="","",Members!D428),"")</f>
        <v/>
      </c>
      <c r="E431" s="16" t="str">
        <f>IF(A431="","",COUNTIF(Completions!A:A,A431))</f>
        <v/>
      </c>
      <c r="F431" s="16" t="str">
        <f>IF(A431="","",SUMPRODUCT((Completions!A$2:A$5000=A431)*IFERROR(VLOOKUP(Completions!B$2:B$5000,$J$4:$K$18,2,FALSE()),0)))</f>
        <v/>
      </c>
      <c r="G431" s="16" t="str">
        <f t="shared" si="6"/>
        <v/>
      </c>
      <c r="H431" s="16" t="str">
        <f>IF(A431="","",IFERROR(TEXT(_xludf.maxifs(Completions!G:G,Completions!A:A,A431),"yyyy-mm-dd hh:mm"),"—"))</f>
        <v/>
      </c>
    </row>
    <row r="432" spans="1:8" ht="21.75" customHeight="1" x14ac:dyDescent="0.2">
      <c r="A432" s="17" t="str">
        <f>IFERROR(IF(Members!A429="","",Members!A429),"")</f>
        <v/>
      </c>
      <c r="B432" s="17" t="str">
        <f>IFERROR(IF(Members!A429="","",Members!B429),"")</f>
        <v/>
      </c>
      <c r="C432" s="17" t="str">
        <f>IFERROR(IF(Members!A429="","",Members!C429),"")</f>
        <v/>
      </c>
      <c r="D432" s="17" t="str">
        <f>IFERROR(IF(Members!A429="","",Members!D429),"")</f>
        <v/>
      </c>
      <c r="E432" s="17" t="str">
        <f>IF(A432="","",COUNTIF(Completions!A:A,A432))</f>
        <v/>
      </c>
      <c r="F432" s="17" t="str">
        <f>IF(A432="","",SUMPRODUCT((Completions!A$2:A$5000=A432)*IFERROR(VLOOKUP(Completions!B$2:B$5000,$J$4:$K$18,2,FALSE()),0)))</f>
        <v/>
      </c>
      <c r="G432" s="17" t="str">
        <f t="shared" si="6"/>
        <v/>
      </c>
      <c r="H432" s="17" t="str">
        <f>IF(A432="","",IFERROR(TEXT(_xludf.maxifs(Completions!G:G,Completions!A:A,A432),"yyyy-mm-dd hh:mm"),"—"))</f>
        <v/>
      </c>
    </row>
    <row r="433" spans="1:8" ht="21.75" customHeight="1" x14ac:dyDescent="0.2">
      <c r="A433" s="16" t="str">
        <f>IFERROR(IF(Members!A430="","",Members!A430),"")</f>
        <v/>
      </c>
      <c r="B433" s="16" t="str">
        <f>IFERROR(IF(Members!A430="","",Members!B430),"")</f>
        <v/>
      </c>
      <c r="C433" s="16" t="str">
        <f>IFERROR(IF(Members!A430="","",Members!C430),"")</f>
        <v/>
      </c>
      <c r="D433" s="16" t="str">
        <f>IFERROR(IF(Members!A430="","",Members!D430),"")</f>
        <v/>
      </c>
      <c r="E433" s="16" t="str">
        <f>IF(A433="","",COUNTIF(Completions!A:A,A433))</f>
        <v/>
      </c>
      <c r="F433" s="16" t="str">
        <f>IF(A433="","",SUMPRODUCT((Completions!A$2:A$5000=A433)*IFERROR(VLOOKUP(Completions!B$2:B$5000,$J$4:$K$18,2,FALSE()),0)))</f>
        <v/>
      </c>
      <c r="G433" s="16" t="str">
        <f t="shared" si="6"/>
        <v/>
      </c>
      <c r="H433" s="16" t="str">
        <f>IF(A433="","",IFERROR(TEXT(_xludf.maxifs(Completions!G:G,Completions!A:A,A433),"yyyy-mm-dd hh:mm"),"—"))</f>
        <v/>
      </c>
    </row>
    <row r="434" spans="1:8" ht="21.75" customHeight="1" x14ac:dyDescent="0.2">
      <c r="A434" s="17" t="str">
        <f>IFERROR(IF(Members!A431="","",Members!A431),"")</f>
        <v/>
      </c>
      <c r="B434" s="17" t="str">
        <f>IFERROR(IF(Members!A431="","",Members!B431),"")</f>
        <v/>
      </c>
      <c r="C434" s="17" t="str">
        <f>IFERROR(IF(Members!A431="","",Members!C431),"")</f>
        <v/>
      </c>
      <c r="D434" s="17" t="str">
        <f>IFERROR(IF(Members!A431="","",Members!D431),"")</f>
        <v/>
      </c>
      <c r="E434" s="17" t="str">
        <f>IF(A434="","",COUNTIF(Completions!A:A,A434))</f>
        <v/>
      </c>
      <c r="F434" s="17" t="str">
        <f>IF(A434="","",SUMPRODUCT((Completions!A$2:A$5000=A434)*IFERROR(VLOOKUP(Completions!B$2:B$5000,$J$4:$K$18,2,FALSE()),0)))</f>
        <v/>
      </c>
      <c r="G434" s="17" t="str">
        <f t="shared" si="6"/>
        <v/>
      </c>
      <c r="H434" s="17" t="str">
        <f>IF(A434="","",IFERROR(TEXT(_xludf.maxifs(Completions!G:G,Completions!A:A,A434),"yyyy-mm-dd hh:mm"),"—"))</f>
        <v/>
      </c>
    </row>
    <row r="435" spans="1:8" ht="21.75" customHeight="1" x14ac:dyDescent="0.2">
      <c r="A435" s="16" t="str">
        <f>IFERROR(IF(Members!A432="","",Members!A432),"")</f>
        <v/>
      </c>
      <c r="B435" s="16" t="str">
        <f>IFERROR(IF(Members!A432="","",Members!B432),"")</f>
        <v/>
      </c>
      <c r="C435" s="16" t="str">
        <f>IFERROR(IF(Members!A432="","",Members!C432),"")</f>
        <v/>
      </c>
      <c r="D435" s="16" t="str">
        <f>IFERROR(IF(Members!A432="","",Members!D432),"")</f>
        <v/>
      </c>
      <c r="E435" s="16" t="str">
        <f>IF(A435="","",COUNTIF(Completions!A:A,A435))</f>
        <v/>
      </c>
      <c r="F435" s="16" t="str">
        <f>IF(A435="","",SUMPRODUCT((Completions!A$2:A$5000=A435)*IFERROR(VLOOKUP(Completions!B$2:B$5000,$J$4:$K$18,2,FALSE()),0)))</f>
        <v/>
      </c>
      <c r="G435" s="16" t="str">
        <f t="shared" si="6"/>
        <v/>
      </c>
      <c r="H435" s="16" t="str">
        <f>IF(A435="","",IFERROR(TEXT(_xludf.maxifs(Completions!G:G,Completions!A:A,A435),"yyyy-mm-dd hh:mm"),"—"))</f>
        <v/>
      </c>
    </row>
    <row r="436" spans="1:8" ht="21.75" customHeight="1" x14ac:dyDescent="0.2">
      <c r="A436" s="17" t="str">
        <f>IFERROR(IF(Members!A433="","",Members!A433),"")</f>
        <v/>
      </c>
      <c r="B436" s="17" t="str">
        <f>IFERROR(IF(Members!A433="","",Members!B433),"")</f>
        <v/>
      </c>
      <c r="C436" s="17" t="str">
        <f>IFERROR(IF(Members!A433="","",Members!C433),"")</f>
        <v/>
      </c>
      <c r="D436" s="17" t="str">
        <f>IFERROR(IF(Members!A433="","",Members!D433),"")</f>
        <v/>
      </c>
      <c r="E436" s="17" t="str">
        <f>IF(A436="","",COUNTIF(Completions!A:A,A436))</f>
        <v/>
      </c>
      <c r="F436" s="17" t="str">
        <f>IF(A436="","",SUMPRODUCT((Completions!A$2:A$5000=A436)*IFERROR(VLOOKUP(Completions!B$2:B$5000,$J$4:$K$18,2,FALSE()),0)))</f>
        <v/>
      </c>
      <c r="G436" s="17" t="str">
        <f t="shared" si="6"/>
        <v/>
      </c>
      <c r="H436" s="17" t="str">
        <f>IF(A436="","",IFERROR(TEXT(_xludf.maxifs(Completions!G:G,Completions!A:A,A436),"yyyy-mm-dd hh:mm"),"—"))</f>
        <v/>
      </c>
    </row>
    <row r="437" spans="1:8" ht="21.75" customHeight="1" x14ac:dyDescent="0.2">
      <c r="A437" s="16" t="str">
        <f>IFERROR(IF(Members!A434="","",Members!A434),"")</f>
        <v/>
      </c>
      <c r="B437" s="16" t="str">
        <f>IFERROR(IF(Members!A434="","",Members!B434),"")</f>
        <v/>
      </c>
      <c r="C437" s="16" t="str">
        <f>IFERROR(IF(Members!A434="","",Members!C434),"")</f>
        <v/>
      </c>
      <c r="D437" s="16" t="str">
        <f>IFERROR(IF(Members!A434="","",Members!D434),"")</f>
        <v/>
      </c>
      <c r="E437" s="16" t="str">
        <f>IF(A437="","",COUNTIF(Completions!A:A,A437))</f>
        <v/>
      </c>
      <c r="F437" s="16" t="str">
        <f>IF(A437="","",SUMPRODUCT((Completions!A$2:A$5000=A437)*IFERROR(VLOOKUP(Completions!B$2:B$5000,$J$4:$K$18,2,FALSE()),0)))</f>
        <v/>
      </c>
      <c r="G437" s="16" t="str">
        <f t="shared" si="6"/>
        <v/>
      </c>
      <c r="H437" s="16" t="str">
        <f>IF(A437="","",IFERROR(TEXT(_xludf.maxifs(Completions!G:G,Completions!A:A,A437),"yyyy-mm-dd hh:mm"),"—"))</f>
        <v/>
      </c>
    </row>
    <row r="438" spans="1:8" ht="21.75" customHeight="1" x14ac:dyDescent="0.2">
      <c r="A438" s="17" t="str">
        <f>IFERROR(IF(Members!A435="","",Members!A435),"")</f>
        <v/>
      </c>
      <c r="B438" s="17" t="str">
        <f>IFERROR(IF(Members!A435="","",Members!B435),"")</f>
        <v/>
      </c>
      <c r="C438" s="17" t="str">
        <f>IFERROR(IF(Members!A435="","",Members!C435),"")</f>
        <v/>
      </c>
      <c r="D438" s="17" t="str">
        <f>IFERROR(IF(Members!A435="","",Members!D435),"")</f>
        <v/>
      </c>
      <c r="E438" s="17" t="str">
        <f>IF(A438="","",COUNTIF(Completions!A:A,A438))</f>
        <v/>
      </c>
      <c r="F438" s="17" t="str">
        <f>IF(A438="","",SUMPRODUCT((Completions!A$2:A$5000=A438)*IFERROR(VLOOKUP(Completions!B$2:B$5000,$J$4:$K$18,2,FALSE()),0)))</f>
        <v/>
      </c>
      <c r="G438" s="17" t="str">
        <f t="shared" si="6"/>
        <v/>
      </c>
      <c r="H438" s="17" t="str">
        <f>IF(A438="","",IFERROR(TEXT(_xludf.maxifs(Completions!G:G,Completions!A:A,A438),"yyyy-mm-dd hh:mm"),"—"))</f>
        <v/>
      </c>
    </row>
    <row r="439" spans="1:8" ht="21.75" customHeight="1" x14ac:dyDescent="0.2">
      <c r="A439" s="16" t="str">
        <f>IFERROR(IF(Members!A436="","",Members!A436),"")</f>
        <v/>
      </c>
      <c r="B439" s="16" t="str">
        <f>IFERROR(IF(Members!A436="","",Members!B436),"")</f>
        <v/>
      </c>
      <c r="C439" s="16" t="str">
        <f>IFERROR(IF(Members!A436="","",Members!C436),"")</f>
        <v/>
      </c>
      <c r="D439" s="16" t="str">
        <f>IFERROR(IF(Members!A436="","",Members!D436),"")</f>
        <v/>
      </c>
      <c r="E439" s="16" t="str">
        <f>IF(A439="","",COUNTIF(Completions!A:A,A439))</f>
        <v/>
      </c>
      <c r="F439" s="16" t="str">
        <f>IF(A439="","",SUMPRODUCT((Completions!A$2:A$5000=A439)*IFERROR(VLOOKUP(Completions!B$2:B$5000,$J$4:$K$18,2,FALSE()),0)))</f>
        <v/>
      </c>
      <c r="G439" s="16" t="str">
        <f t="shared" si="6"/>
        <v/>
      </c>
      <c r="H439" s="16" t="str">
        <f>IF(A439="","",IFERROR(TEXT(_xludf.maxifs(Completions!G:G,Completions!A:A,A439),"yyyy-mm-dd hh:mm"),"—"))</f>
        <v/>
      </c>
    </row>
    <row r="440" spans="1:8" ht="21.75" customHeight="1" x14ac:dyDescent="0.2">
      <c r="A440" s="17" t="str">
        <f>IFERROR(IF(Members!A437="","",Members!A437),"")</f>
        <v/>
      </c>
      <c r="B440" s="17" t="str">
        <f>IFERROR(IF(Members!A437="","",Members!B437),"")</f>
        <v/>
      </c>
      <c r="C440" s="17" t="str">
        <f>IFERROR(IF(Members!A437="","",Members!C437),"")</f>
        <v/>
      </c>
      <c r="D440" s="17" t="str">
        <f>IFERROR(IF(Members!A437="","",Members!D437),"")</f>
        <v/>
      </c>
      <c r="E440" s="17" t="str">
        <f>IF(A440="","",COUNTIF(Completions!A:A,A440))</f>
        <v/>
      </c>
      <c r="F440" s="17" t="str">
        <f>IF(A440="","",SUMPRODUCT((Completions!A$2:A$5000=A440)*IFERROR(VLOOKUP(Completions!B$2:B$5000,$J$4:$K$18,2,FALSE()),0)))</f>
        <v/>
      </c>
      <c r="G440" s="17" t="str">
        <f t="shared" si="6"/>
        <v/>
      </c>
      <c r="H440" s="17" t="str">
        <f>IF(A440="","",IFERROR(TEXT(_xludf.maxifs(Completions!G:G,Completions!A:A,A440),"yyyy-mm-dd hh:mm"),"—"))</f>
        <v/>
      </c>
    </row>
    <row r="441" spans="1:8" ht="21.75" customHeight="1" x14ac:dyDescent="0.2">
      <c r="A441" s="16" t="str">
        <f>IFERROR(IF(Members!A438="","",Members!A438),"")</f>
        <v/>
      </c>
      <c r="B441" s="16" t="str">
        <f>IFERROR(IF(Members!A438="","",Members!B438),"")</f>
        <v/>
      </c>
      <c r="C441" s="16" t="str">
        <f>IFERROR(IF(Members!A438="","",Members!C438),"")</f>
        <v/>
      </c>
      <c r="D441" s="16" t="str">
        <f>IFERROR(IF(Members!A438="","",Members!D438),"")</f>
        <v/>
      </c>
      <c r="E441" s="16" t="str">
        <f>IF(A441="","",COUNTIF(Completions!A:A,A441))</f>
        <v/>
      </c>
      <c r="F441" s="16" t="str">
        <f>IF(A441="","",SUMPRODUCT((Completions!A$2:A$5000=A441)*IFERROR(VLOOKUP(Completions!B$2:B$5000,$J$4:$K$18,2,FALSE()),0)))</f>
        <v/>
      </c>
      <c r="G441" s="16" t="str">
        <f t="shared" si="6"/>
        <v/>
      </c>
      <c r="H441" s="16" t="str">
        <f>IF(A441="","",IFERROR(TEXT(_xludf.maxifs(Completions!G:G,Completions!A:A,A441),"yyyy-mm-dd hh:mm"),"—"))</f>
        <v/>
      </c>
    </row>
    <row r="442" spans="1:8" ht="21.75" customHeight="1" x14ac:dyDescent="0.2">
      <c r="A442" s="17" t="str">
        <f>IFERROR(IF(Members!A439="","",Members!A439),"")</f>
        <v/>
      </c>
      <c r="B442" s="17" t="str">
        <f>IFERROR(IF(Members!A439="","",Members!B439),"")</f>
        <v/>
      </c>
      <c r="C442" s="17" t="str">
        <f>IFERROR(IF(Members!A439="","",Members!C439),"")</f>
        <v/>
      </c>
      <c r="D442" s="17" t="str">
        <f>IFERROR(IF(Members!A439="","",Members!D439),"")</f>
        <v/>
      </c>
      <c r="E442" s="17" t="str">
        <f>IF(A442="","",COUNTIF(Completions!A:A,A442))</f>
        <v/>
      </c>
      <c r="F442" s="17" t="str">
        <f>IF(A442="","",SUMPRODUCT((Completions!A$2:A$5000=A442)*IFERROR(VLOOKUP(Completions!B$2:B$5000,$J$4:$K$18,2,FALSE()),0)))</f>
        <v/>
      </c>
      <c r="G442" s="17" t="str">
        <f t="shared" si="6"/>
        <v/>
      </c>
      <c r="H442" s="17" t="str">
        <f>IF(A442="","",IFERROR(TEXT(_xludf.maxifs(Completions!G:G,Completions!A:A,A442),"yyyy-mm-dd hh:mm"),"—"))</f>
        <v/>
      </c>
    </row>
    <row r="443" spans="1:8" ht="21.75" customHeight="1" x14ac:dyDescent="0.2">
      <c r="A443" s="16" t="str">
        <f>IFERROR(IF(Members!A440="","",Members!A440),"")</f>
        <v/>
      </c>
      <c r="B443" s="16" t="str">
        <f>IFERROR(IF(Members!A440="","",Members!B440),"")</f>
        <v/>
      </c>
      <c r="C443" s="16" t="str">
        <f>IFERROR(IF(Members!A440="","",Members!C440),"")</f>
        <v/>
      </c>
      <c r="D443" s="16" t="str">
        <f>IFERROR(IF(Members!A440="","",Members!D440),"")</f>
        <v/>
      </c>
      <c r="E443" s="16" t="str">
        <f>IF(A443="","",COUNTIF(Completions!A:A,A443))</f>
        <v/>
      </c>
      <c r="F443" s="16" t="str">
        <f>IF(A443="","",SUMPRODUCT((Completions!A$2:A$5000=A443)*IFERROR(VLOOKUP(Completions!B$2:B$5000,$J$4:$K$18,2,FALSE()),0)))</f>
        <v/>
      </c>
      <c r="G443" s="16" t="str">
        <f t="shared" si="6"/>
        <v/>
      </c>
      <c r="H443" s="16" t="str">
        <f>IF(A443="","",IFERROR(TEXT(_xludf.maxifs(Completions!G:G,Completions!A:A,A443),"yyyy-mm-dd hh:mm"),"—"))</f>
        <v/>
      </c>
    </row>
    <row r="444" spans="1:8" ht="21.75" customHeight="1" x14ac:dyDescent="0.2">
      <c r="A444" s="17" t="str">
        <f>IFERROR(IF(Members!A441="","",Members!A441),"")</f>
        <v/>
      </c>
      <c r="B444" s="17" t="str">
        <f>IFERROR(IF(Members!A441="","",Members!B441),"")</f>
        <v/>
      </c>
      <c r="C444" s="17" t="str">
        <f>IFERROR(IF(Members!A441="","",Members!C441),"")</f>
        <v/>
      </c>
      <c r="D444" s="17" t="str">
        <f>IFERROR(IF(Members!A441="","",Members!D441),"")</f>
        <v/>
      </c>
      <c r="E444" s="17" t="str">
        <f>IF(A444="","",COUNTIF(Completions!A:A,A444))</f>
        <v/>
      </c>
      <c r="F444" s="17" t="str">
        <f>IF(A444="","",SUMPRODUCT((Completions!A$2:A$5000=A444)*IFERROR(VLOOKUP(Completions!B$2:B$5000,$J$4:$K$18,2,FALSE()),0)))</f>
        <v/>
      </c>
      <c r="G444" s="17" t="str">
        <f t="shared" si="6"/>
        <v/>
      </c>
      <c r="H444" s="17" t="str">
        <f>IF(A444="","",IFERROR(TEXT(_xludf.maxifs(Completions!G:G,Completions!A:A,A444),"yyyy-mm-dd hh:mm"),"—"))</f>
        <v/>
      </c>
    </row>
    <row r="445" spans="1:8" ht="21.75" customHeight="1" x14ac:dyDescent="0.2">
      <c r="A445" s="16" t="str">
        <f>IFERROR(IF(Members!A442="","",Members!A442),"")</f>
        <v/>
      </c>
      <c r="B445" s="16" t="str">
        <f>IFERROR(IF(Members!A442="","",Members!B442),"")</f>
        <v/>
      </c>
      <c r="C445" s="16" t="str">
        <f>IFERROR(IF(Members!A442="","",Members!C442),"")</f>
        <v/>
      </c>
      <c r="D445" s="16" t="str">
        <f>IFERROR(IF(Members!A442="","",Members!D442),"")</f>
        <v/>
      </c>
      <c r="E445" s="16" t="str">
        <f>IF(A445="","",COUNTIF(Completions!A:A,A445))</f>
        <v/>
      </c>
      <c r="F445" s="16" t="str">
        <f>IF(A445="","",SUMPRODUCT((Completions!A$2:A$5000=A445)*IFERROR(VLOOKUP(Completions!B$2:B$5000,$J$4:$K$18,2,FALSE()),0)))</f>
        <v/>
      </c>
      <c r="G445" s="16" t="str">
        <f t="shared" si="6"/>
        <v/>
      </c>
      <c r="H445" s="16" t="str">
        <f>IF(A445="","",IFERROR(TEXT(_xludf.maxifs(Completions!G:G,Completions!A:A,A445),"yyyy-mm-dd hh:mm"),"—"))</f>
        <v/>
      </c>
    </row>
    <row r="446" spans="1:8" ht="21.75" customHeight="1" x14ac:dyDescent="0.2">
      <c r="A446" s="17" t="str">
        <f>IFERROR(IF(Members!A443="","",Members!A443),"")</f>
        <v/>
      </c>
      <c r="B446" s="17" t="str">
        <f>IFERROR(IF(Members!A443="","",Members!B443),"")</f>
        <v/>
      </c>
      <c r="C446" s="17" t="str">
        <f>IFERROR(IF(Members!A443="","",Members!C443),"")</f>
        <v/>
      </c>
      <c r="D446" s="17" t="str">
        <f>IFERROR(IF(Members!A443="","",Members!D443),"")</f>
        <v/>
      </c>
      <c r="E446" s="17" t="str">
        <f>IF(A446="","",COUNTIF(Completions!A:A,A446))</f>
        <v/>
      </c>
      <c r="F446" s="17" t="str">
        <f>IF(A446="","",SUMPRODUCT((Completions!A$2:A$5000=A446)*IFERROR(VLOOKUP(Completions!B$2:B$5000,$J$4:$K$18,2,FALSE()),0)))</f>
        <v/>
      </c>
      <c r="G446" s="17" t="str">
        <f t="shared" si="6"/>
        <v/>
      </c>
      <c r="H446" s="17" t="str">
        <f>IF(A446="","",IFERROR(TEXT(_xludf.maxifs(Completions!G:G,Completions!A:A,A446),"yyyy-mm-dd hh:mm"),"—"))</f>
        <v/>
      </c>
    </row>
    <row r="447" spans="1:8" ht="21.75" customHeight="1" x14ac:dyDescent="0.2">
      <c r="A447" s="16" t="str">
        <f>IFERROR(IF(Members!A444="","",Members!A444),"")</f>
        <v/>
      </c>
      <c r="B447" s="16" t="str">
        <f>IFERROR(IF(Members!A444="","",Members!B444),"")</f>
        <v/>
      </c>
      <c r="C447" s="16" t="str">
        <f>IFERROR(IF(Members!A444="","",Members!C444),"")</f>
        <v/>
      </c>
      <c r="D447" s="16" t="str">
        <f>IFERROR(IF(Members!A444="","",Members!D444),"")</f>
        <v/>
      </c>
      <c r="E447" s="16" t="str">
        <f>IF(A447="","",COUNTIF(Completions!A:A,A447))</f>
        <v/>
      </c>
      <c r="F447" s="16" t="str">
        <f>IF(A447="","",SUMPRODUCT((Completions!A$2:A$5000=A447)*IFERROR(VLOOKUP(Completions!B$2:B$5000,$J$4:$K$18,2,FALSE()),0)))</f>
        <v/>
      </c>
      <c r="G447" s="16" t="str">
        <f t="shared" si="6"/>
        <v/>
      </c>
      <c r="H447" s="16" t="str">
        <f>IF(A447="","",IFERROR(TEXT(_xludf.maxifs(Completions!G:G,Completions!A:A,A447),"yyyy-mm-dd hh:mm"),"—"))</f>
        <v/>
      </c>
    </row>
    <row r="448" spans="1:8" ht="21.75" customHeight="1" x14ac:dyDescent="0.2">
      <c r="A448" s="17" t="str">
        <f>IFERROR(IF(Members!A445="","",Members!A445),"")</f>
        <v/>
      </c>
      <c r="B448" s="17" t="str">
        <f>IFERROR(IF(Members!A445="","",Members!B445),"")</f>
        <v/>
      </c>
      <c r="C448" s="17" t="str">
        <f>IFERROR(IF(Members!A445="","",Members!C445),"")</f>
        <v/>
      </c>
      <c r="D448" s="17" t="str">
        <f>IFERROR(IF(Members!A445="","",Members!D445),"")</f>
        <v/>
      </c>
      <c r="E448" s="17" t="str">
        <f>IF(A448="","",COUNTIF(Completions!A:A,A448))</f>
        <v/>
      </c>
      <c r="F448" s="17" t="str">
        <f>IF(A448="","",SUMPRODUCT((Completions!A$2:A$5000=A448)*IFERROR(VLOOKUP(Completions!B$2:B$5000,$J$4:$K$18,2,FALSE()),0)))</f>
        <v/>
      </c>
      <c r="G448" s="17" t="str">
        <f t="shared" si="6"/>
        <v/>
      </c>
      <c r="H448" s="17" t="str">
        <f>IF(A448="","",IFERROR(TEXT(_xludf.maxifs(Completions!G:G,Completions!A:A,A448),"yyyy-mm-dd hh:mm"),"—"))</f>
        <v/>
      </c>
    </row>
    <row r="449" spans="1:8" ht="21.75" customHeight="1" x14ac:dyDescent="0.2">
      <c r="A449" s="16" t="str">
        <f>IFERROR(IF(Members!A446="","",Members!A446),"")</f>
        <v/>
      </c>
      <c r="B449" s="16" t="str">
        <f>IFERROR(IF(Members!A446="","",Members!B446),"")</f>
        <v/>
      </c>
      <c r="C449" s="16" t="str">
        <f>IFERROR(IF(Members!A446="","",Members!C446),"")</f>
        <v/>
      </c>
      <c r="D449" s="16" t="str">
        <f>IFERROR(IF(Members!A446="","",Members!D446),"")</f>
        <v/>
      </c>
      <c r="E449" s="16" t="str">
        <f>IF(A449="","",COUNTIF(Completions!A:A,A449))</f>
        <v/>
      </c>
      <c r="F449" s="16" t="str">
        <f>IF(A449="","",SUMPRODUCT((Completions!A$2:A$5000=A449)*IFERROR(VLOOKUP(Completions!B$2:B$5000,$J$4:$K$18,2,FALSE()),0)))</f>
        <v/>
      </c>
      <c r="G449" s="16" t="str">
        <f t="shared" si="6"/>
        <v/>
      </c>
      <c r="H449" s="16" t="str">
        <f>IF(A449="","",IFERROR(TEXT(_xludf.maxifs(Completions!G:G,Completions!A:A,A449),"yyyy-mm-dd hh:mm"),"—"))</f>
        <v/>
      </c>
    </row>
    <row r="450" spans="1:8" ht="21.75" customHeight="1" x14ac:dyDescent="0.2">
      <c r="A450" s="17" t="str">
        <f>IFERROR(IF(Members!A447="","",Members!A447),"")</f>
        <v/>
      </c>
      <c r="B450" s="17" t="str">
        <f>IFERROR(IF(Members!A447="","",Members!B447),"")</f>
        <v/>
      </c>
      <c r="C450" s="17" t="str">
        <f>IFERROR(IF(Members!A447="","",Members!C447),"")</f>
        <v/>
      </c>
      <c r="D450" s="17" t="str">
        <f>IFERROR(IF(Members!A447="","",Members!D447),"")</f>
        <v/>
      </c>
      <c r="E450" s="17" t="str">
        <f>IF(A450="","",COUNTIF(Completions!A:A,A450))</f>
        <v/>
      </c>
      <c r="F450" s="17" t="str">
        <f>IF(A450="","",SUMPRODUCT((Completions!A$2:A$5000=A450)*IFERROR(VLOOKUP(Completions!B$2:B$5000,$J$4:$K$18,2,FALSE()),0)))</f>
        <v/>
      </c>
      <c r="G450" s="17" t="str">
        <f t="shared" si="6"/>
        <v/>
      </c>
      <c r="H450" s="17" t="str">
        <f>IF(A450="","",IFERROR(TEXT(_xludf.maxifs(Completions!G:G,Completions!A:A,A450),"yyyy-mm-dd hh:mm"),"—"))</f>
        <v/>
      </c>
    </row>
    <row r="451" spans="1:8" ht="21.75" customHeight="1" x14ac:dyDescent="0.2">
      <c r="A451" s="16" t="str">
        <f>IFERROR(IF(Members!A448="","",Members!A448),"")</f>
        <v/>
      </c>
      <c r="B451" s="16" t="str">
        <f>IFERROR(IF(Members!A448="","",Members!B448),"")</f>
        <v/>
      </c>
      <c r="C451" s="16" t="str">
        <f>IFERROR(IF(Members!A448="","",Members!C448),"")</f>
        <v/>
      </c>
      <c r="D451" s="16" t="str">
        <f>IFERROR(IF(Members!A448="","",Members!D448),"")</f>
        <v/>
      </c>
      <c r="E451" s="16" t="str">
        <f>IF(A451="","",COUNTIF(Completions!A:A,A451))</f>
        <v/>
      </c>
      <c r="F451" s="16" t="str">
        <f>IF(A451="","",SUMPRODUCT((Completions!A$2:A$5000=A451)*IFERROR(VLOOKUP(Completions!B$2:B$5000,$J$4:$K$18,2,FALSE()),0)))</f>
        <v/>
      </c>
      <c r="G451" s="16" t="str">
        <f t="shared" si="6"/>
        <v/>
      </c>
      <c r="H451" s="16" t="str">
        <f>IF(A451="","",IFERROR(TEXT(_xludf.maxifs(Completions!G:G,Completions!A:A,A451),"yyyy-mm-dd hh:mm"),"—"))</f>
        <v/>
      </c>
    </row>
    <row r="452" spans="1:8" ht="21.75" customHeight="1" x14ac:dyDescent="0.2">
      <c r="A452" s="17" t="str">
        <f>IFERROR(IF(Members!A449="","",Members!A449),"")</f>
        <v/>
      </c>
      <c r="B452" s="17" t="str">
        <f>IFERROR(IF(Members!A449="","",Members!B449),"")</f>
        <v/>
      </c>
      <c r="C452" s="17" t="str">
        <f>IFERROR(IF(Members!A449="","",Members!C449),"")</f>
        <v/>
      </c>
      <c r="D452" s="17" t="str">
        <f>IFERROR(IF(Members!A449="","",Members!D449),"")</f>
        <v/>
      </c>
      <c r="E452" s="17" t="str">
        <f>IF(A452="","",COUNTIF(Completions!A:A,A452))</f>
        <v/>
      </c>
      <c r="F452" s="17" t="str">
        <f>IF(A452="","",SUMPRODUCT((Completions!A$2:A$5000=A452)*IFERROR(VLOOKUP(Completions!B$2:B$5000,$J$4:$K$18,2,FALSE()),0)))</f>
        <v/>
      </c>
      <c r="G452" s="17" t="str">
        <f t="shared" si="6"/>
        <v/>
      </c>
      <c r="H452" s="17" t="str">
        <f>IF(A452="","",IFERROR(TEXT(_xludf.maxifs(Completions!G:G,Completions!A:A,A452),"yyyy-mm-dd hh:mm"),"—"))</f>
        <v/>
      </c>
    </row>
    <row r="453" spans="1:8" ht="21.75" customHeight="1" x14ac:dyDescent="0.2">
      <c r="A453" s="16" t="str">
        <f>IFERROR(IF(Members!A450="","",Members!A450),"")</f>
        <v/>
      </c>
      <c r="B453" s="16" t="str">
        <f>IFERROR(IF(Members!A450="","",Members!B450),"")</f>
        <v/>
      </c>
      <c r="C453" s="16" t="str">
        <f>IFERROR(IF(Members!A450="","",Members!C450),"")</f>
        <v/>
      </c>
      <c r="D453" s="16" t="str">
        <f>IFERROR(IF(Members!A450="","",Members!D450),"")</f>
        <v/>
      </c>
      <c r="E453" s="16" t="str">
        <f>IF(A453="","",COUNTIF(Completions!A:A,A453))</f>
        <v/>
      </c>
      <c r="F453" s="16" t="str">
        <f>IF(A453="","",SUMPRODUCT((Completions!A$2:A$5000=A453)*IFERROR(VLOOKUP(Completions!B$2:B$5000,$J$4:$K$18,2,FALSE()),0)))</f>
        <v/>
      </c>
      <c r="G453" s="16" t="str">
        <f t="shared" ref="G453:G516" si="7">IF(A453="","",IF(F453&gt;=20,"Gold",IF(F453&gt;=14,"Silver",IF(F453&gt;=8,"Bronze","—"))))</f>
        <v/>
      </c>
      <c r="H453" s="16" t="str">
        <f>IF(A453="","",IFERROR(TEXT(_xludf.maxifs(Completions!G:G,Completions!A:A,A453),"yyyy-mm-dd hh:mm"),"—"))</f>
        <v/>
      </c>
    </row>
    <row r="454" spans="1:8" ht="21.75" customHeight="1" x14ac:dyDescent="0.2">
      <c r="A454" s="17" t="str">
        <f>IFERROR(IF(Members!A451="","",Members!A451),"")</f>
        <v/>
      </c>
      <c r="B454" s="17" t="str">
        <f>IFERROR(IF(Members!A451="","",Members!B451),"")</f>
        <v/>
      </c>
      <c r="C454" s="17" t="str">
        <f>IFERROR(IF(Members!A451="","",Members!C451),"")</f>
        <v/>
      </c>
      <c r="D454" s="17" t="str">
        <f>IFERROR(IF(Members!A451="","",Members!D451),"")</f>
        <v/>
      </c>
      <c r="E454" s="17" t="str">
        <f>IF(A454="","",COUNTIF(Completions!A:A,A454))</f>
        <v/>
      </c>
      <c r="F454" s="17" t="str">
        <f>IF(A454="","",SUMPRODUCT((Completions!A$2:A$5000=A454)*IFERROR(VLOOKUP(Completions!B$2:B$5000,$J$4:$K$18,2,FALSE()),0)))</f>
        <v/>
      </c>
      <c r="G454" s="17" t="str">
        <f t="shared" si="7"/>
        <v/>
      </c>
      <c r="H454" s="17" t="str">
        <f>IF(A454="","",IFERROR(TEXT(_xludf.maxifs(Completions!G:G,Completions!A:A,A454),"yyyy-mm-dd hh:mm"),"—"))</f>
        <v/>
      </c>
    </row>
    <row r="455" spans="1:8" ht="21.75" customHeight="1" x14ac:dyDescent="0.2">
      <c r="A455" s="16" t="str">
        <f>IFERROR(IF(Members!A452="","",Members!A452),"")</f>
        <v/>
      </c>
      <c r="B455" s="16" t="str">
        <f>IFERROR(IF(Members!A452="","",Members!B452),"")</f>
        <v/>
      </c>
      <c r="C455" s="16" t="str">
        <f>IFERROR(IF(Members!A452="","",Members!C452),"")</f>
        <v/>
      </c>
      <c r="D455" s="16" t="str">
        <f>IFERROR(IF(Members!A452="","",Members!D452),"")</f>
        <v/>
      </c>
      <c r="E455" s="16" t="str">
        <f>IF(A455="","",COUNTIF(Completions!A:A,A455))</f>
        <v/>
      </c>
      <c r="F455" s="16" t="str">
        <f>IF(A455="","",SUMPRODUCT((Completions!A$2:A$5000=A455)*IFERROR(VLOOKUP(Completions!B$2:B$5000,$J$4:$K$18,2,FALSE()),0)))</f>
        <v/>
      </c>
      <c r="G455" s="16" t="str">
        <f t="shared" si="7"/>
        <v/>
      </c>
      <c r="H455" s="16" t="str">
        <f>IF(A455="","",IFERROR(TEXT(_xludf.maxifs(Completions!G:G,Completions!A:A,A455),"yyyy-mm-dd hh:mm"),"—"))</f>
        <v/>
      </c>
    </row>
    <row r="456" spans="1:8" ht="21.75" customHeight="1" x14ac:dyDescent="0.2">
      <c r="A456" s="17" t="str">
        <f>IFERROR(IF(Members!A453="","",Members!A453),"")</f>
        <v/>
      </c>
      <c r="B456" s="17" t="str">
        <f>IFERROR(IF(Members!A453="","",Members!B453),"")</f>
        <v/>
      </c>
      <c r="C456" s="17" t="str">
        <f>IFERROR(IF(Members!A453="","",Members!C453),"")</f>
        <v/>
      </c>
      <c r="D456" s="17" t="str">
        <f>IFERROR(IF(Members!A453="","",Members!D453),"")</f>
        <v/>
      </c>
      <c r="E456" s="17" t="str">
        <f>IF(A456="","",COUNTIF(Completions!A:A,A456))</f>
        <v/>
      </c>
      <c r="F456" s="17" t="str">
        <f>IF(A456="","",SUMPRODUCT((Completions!A$2:A$5000=A456)*IFERROR(VLOOKUP(Completions!B$2:B$5000,$J$4:$K$18,2,FALSE()),0)))</f>
        <v/>
      </c>
      <c r="G456" s="17" t="str">
        <f t="shared" si="7"/>
        <v/>
      </c>
      <c r="H456" s="17" t="str">
        <f>IF(A456="","",IFERROR(TEXT(_xludf.maxifs(Completions!G:G,Completions!A:A,A456),"yyyy-mm-dd hh:mm"),"—"))</f>
        <v/>
      </c>
    </row>
    <row r="457" spans="1:8" ht="21.75" customHeight="1" x14ac:dyDescent="0.2">
      <c r="A457" s="16" t="str">
        <f>IFERROR(IF(Members!A454="","",Members!A454),"")</f>
        <v/>
      </c>
      <c r="B457" s="16" t="str">
        <f>IFERROR(IF(Members!A454="","",Members!B454),"")</f>
        <v/>
      </c>
      <c r="C457" s="16" t="str">
        <f>IFERROR(IF(Members!A454="","",Members!C454),"")</f>
        <v/>
      </c>
      <c r="D457" s="16" t="str">
        <f>IFERROR(IF(Members!A454="","",Members!D454),"")</f>
        <v/>
      </c>
      <c r="E457" s="16" t="str">
        <f>IF(A457="","",COUNTIF(Completions!A:A,A457))</f>
        <v/>
      </c>
      <c r="F457" s="16" t="str">
        <f>IF(A457="","",SUMPRODUCT((Completions!A$2:A$5000=A457)*IFERROR(VLOOKUP(Completions!B$2:B$5000,$J$4:$K$18,2,FALSE()),0)))</f>
        <v/>
      </c>
      <c r="G457" s="16" t="str">
        <f t="shared" si="7"/>
        <v/>
      </c>
      <c r="H457" s="16" t="str">
        <f>IF(A457="","",IFERROR(TEXT(_xludf.maxifs(Completions!G:G,Completions!A:A,A457),"yyyy-mm-dd hh:mm"),"—"))</f>
        <v/>
      </c>
    </row>
    <row r="458" spans="1:8" ht="21.75" customHeight="1" x14ac:dyDescent="0.2">
      <c r="A458" s="17" t="str">
        <f>IFERROR(IF(Members!A455="","",Members!A455),"")</f>
        <v/>
      </c>
      <c r="B458" s="17" t="str">
        <f>IFERROR(IF(Members!A455="","",Members!B455),"")</f>
        <v/>
      </c>
      <c r="C458" s="17" t="str">
        <f>IFERROR(IF(Members!A455="","",Members!C455),"")</f>
        <v/>
      </c>
      <c r="D458" s="17" t="str">
        <f>IFERROR(IF(Members!A455="","",Members!D455),"")</f>
        <v/>
      </c>
      <c r="E458" s="17" t="str">
        <f>IF(A458="","",COUNTIF(Completions!A:A,A458))</f>
        <v/>
      </c>
      <c r="F458" s="17" t="str">
        <f>IF(A458="","",SUMPRODUCT((Completions!A$2:A$5000=A458)*IFERROR(VLOOKUP(Completions!B$2:B$5000,$J$4:$K$18,2,FALSE()),0)))</f>
        <v/>
      </c>
      <c r="G458" s="17" t="str">
        <f t="shared" si="7"/>
        <v/>
      </c>
      <c r="H458" s="17" t="str">
        <f>IF(A458="","",IFERROR(TEXT(_xludf.maxifs(Completions!G:G,Completions!A:A,A458),"yyyy-mm-dd hh:mm"),"—"))</f>
        <v/>
      </c>
    </row>
    <row r="459" spans="1:8" ht="21.75" customHeight="1" x14ac:dyDescent="0.2">
      <c r="A459" s="16" t="str">
        <f>IFERROR(IF(Members!A456="","",Members!A456),"")</f>
        <v/>
      </c>
      <c r="B459" s="16" t="str">
        <f>IFERROR(IF(Members!A456="","",Members!B456),"")</f>
        <v/>
      </c>
      <c r="C459" s="16" t="str">
        <f>IFERROR(IF(Members!A456="","",Members!C456),"")</f>
        <v/>
      </c>
      <c r="D459" s="16" t="str">
        <f>IFERROR(IF(Members!A456="","",Members!D456),"")</f>
        <v/>
      </c>
      <c r="E459" s="16" t="str">
        <f>IF(A459="","",COUNTIF(Completions!A:A,A459))</f>
        <v/>
      </c>
      <c r="F459" s="16" t="str">
        <f>IF(A459="","",SUMPRODUCT((Completions!A$2:A$5000=A459)*IFERROR(VLOOKUP(Completions!B$2:B$5000,$J$4:$K$18,2,FALSE()),0)))</f>
        <v/>
      </c>
      <c r="G459" s="16" t="str">
        <f t="shared" si="7"/>
        <v/>
      </c>
      <c r="H459" s="16" t="str">
        <f>IF(A459="","",IFERROR(TEXT(_xludf.maxifs(Completions!G:G,Completions!A:A,A459),"yyyy-mm-dd hh:mm"),"—"))</f>
        <v/>
      </c>
    </row>
    <row r="460" spans="1:8" ht="21.75" customHeight="1" x14ac:dyDescent="0.2">
      <c r="A460" s="17" t="str">
        <f>IFERROR(IF(Members!A457="","",Members!A457),"")</f>
        <v/>
      </c>
      <c r="B460" s="17" t="str">
        <f>IFERROR(IF(Members!A457="","",Members!B457),"")</f>
        <v/>
      </c>
      <c r="C460" s="17" t="str">
        <f>IFERROR(IF(Members!A457="","",Members!C457),"")</f>
        <v/>
      </c>
      <c r="D460" s="17" t="str">
        <f>IFERROR(IF(Members!A457="","",Members!D457),"")</f>
        <v/>
      </c>
      <c r="E460" s="17" t="str">
        <f>IF(A460="","",COUNTIF(Completions!A:A,A460))</f>
        <v/>
      </c>
      <c r="F460" s="17" t="str">
        <f>IF(A460="","",SUMPRODUCT((Completions!A$2:A$5000=A460)*IFERROR(VLOOKUP(Completions!B$2:B$5000,$J$4:$K$18,2,FALSE()),0)))</f>
        <v/>
      </c>
      <c r="G460" s="17" t="str">
        <f t="shared" si="7"/>
        <v/>
      </c>
      <c r="H460" s="17" t="str">
        <f>IF(A460="","",IFERROR(TEXT(_xludf.maxifs(Completions!G:G,Completions!A:A,A460),"yyyy-mm-dd hh:mm"),"—"))</f>
        <v/>
      </c>
    </row>
    <row r="461" spans="1:8" ht="21.75" customHeight="1" x14ac:dyDescent="0.2">
      <c r="A461" s="16" t="str">
        <f>IFERROR(IF(Members!A458="","",Members!A458),"")</f>
        <v/>
      </c>
      <c r="B461" s="16" t="str">
        <f>IFERROR(IF(Members!A458="","",Members!B458),"")</f>
        <v/>
      </c>
      <c r="C461" s="16" t="str">
        <f>IFERROR(IF(Members!A458="","",Members!C458),"")</f>
        <v/>
      </c>
      <c r="D461" s="16" t="str">
        <f>IFERROR(IF(Members!A458="","",Members!D458),"")</f>
        <v/>
      </c>
      <c r="E461" s="16" t="str">
        <f>IF(A461="","",COUNTIF(Completions!A:A,A461))</f>
        <v/>
      </c>
      <c r="F461" s="16" t="str">
        <f>IF(A461="","",SUMPRODUCT((Completions!A$2:A$5000=A461)*IFERROR(VLOOKUP(Completions!B$2:B$5000,$J$4:$K$18,2,FALSE()),0)))</f>
        <v/>
      </c>
      <c r="G461" s="16" t="str">
        <f t="shared" si="7"/>
        <v/>
      </c>
      <c r="H461" s="16" t="str">
        <f>IF(A461="","",IFERROR(TEXT(_xludf.maxifs(Completions!G:G,Completions!A:A,A461),"yyyy-mm-dd hh:mm"),"—"))</f>
        <v/>
      </c>
    </row>
    <row r="462" spans="1:8" ht="21.75" customHeight="1" x14ac:dyDescent="0.2">
      <c r="A462" s="17" t="str">
        <f>IFERROR(IF(Members!A459="","",Members!A459),"")</f>
        <v/>
      </c>
      <c r="B462" s="17" t="str">
        <f>IFERROR(IF(Members!A459="","",Members!B459),"")</f>
        <v/>
      </c>
      <c r="C462" s="17" t="str">
        <f>IFERROR(IF(Members!A459="","",Members!C459),"")</f>
        <v/>
      </c>
      <c r="D462" s="17" t="str">
        <f>IFERROR(IF(Members!A459="","",Members!D459),"")</f>
        <v/>
      </c>
      <c r="E462" s="17" t="str">
        <f>IF(A462="","",COUNTIF(Completions!A:A,A462))</f>
        <v/>
      </c>
      <c r="F462" s="17" t="str">
        <f>IF(A462="","",SUMPRODUCT((Completions!A$2:A$5000=A462)*IFERROR(VLOOKUP(Completions!B$2:B$5000,$J$4:$K$18,2,FALSE()),0)))</f>
        <v/>
      </c>
      <c r="G462" s="17" t="str">
        <f t="shared" si="7"/>
        <v/>
      </c>
      <c r="H462" s="17" t="str">
        <f>IF(A462="","",IFERROR(TEXT(_xludf.maxifs(Completions!G:G,Completions!A:A,A462),"yyyy-mm-dd hh:mm"),"—"))</f>
        <v/>
      </c>
    </row>
    <row r="463" spans="1:8" ht="21.75" customHeight="1" x14ac:dyDescent="0.2">
      <c r="A463" s="16" t="str">
        <f>IFERROR(IF(Members!A460="","",Members!A460),"")</f>
        <v/>
      </c>
      <c r="B463" s="16" t="str">
        <f>IFERROR(IF(Members!A460="","",Members!B460),"")</f>
        <v/>
      </c>
      <c r="C463" s="16" t="str">
        <f>IFERROR(IF(Members!A460="","",Members!C460),"")</f>
        <v/>
      </c>
      <c r="D463" s="16" t="str">
        <f>IFERROR(IF(Members!A460="","",Members!D460),"")</f>
        <v/>
      </c>
      <c r="E463" s="16" t="str">
        <f>IF(A463="","",COUNTIF(Completions!A:A,A463))</f>
        <v/>
      </c>
      <c r="F463" s="16" t="str">
        <f>IF(A463="","",SUMPRODUCT((Completions!A$2:A$5000=A463)*IFERROR(VLOOKUP(Completions!B$2:B$5000,$J$4:$K$18,2,FALSE()),0)))</f>
        <v/>
      </c>
      <c r="G463" s="16" t="str">
        <f t="shared" si="7"/>
        <v/>
      </c>
      <c r="H463" s="16" t="str">
        <f>IF(A463="","",IFERROR(TEXT(_xludf.maxifs(Completions!G:G,Completions!A:A,A463),"yyyy-mm-dd hh:mm"),"—"))</f>
        <v/>
      </c>
    </row>
    <row r="464" spans="1:8" ht="21.75" customHeight="1" x14ac:dyDescent="0.2">
      <c r="A464" s="17" t="str">
        <f>IFERROR(IF(Members!A461="","",Members!A461),"")</f>
        <v/>
      </c>
      <c r="B464" s="17" t="str">
        <f>IFERROR(IF(Members!A461="","",Members!B461),"")</f>
        <v/>
      </c>
      <c r="C464" s="17" t="str">
        <f>IFERROR(IF(Members!A461="","",Members!C461),"")</f>
        <v/>
      </c>
      <c r="D464" s="17" t="str">
        <f>IFERROR(IF(Members!A461="","",Members!D461),"")</f>
        <v/>
      </c>
      <c r="E464" s="17" t="str">
        <f>IF(A464="","",COUNTIF(Completions!A:A,A464))</f>
        <v/>
      </c>
      <c r="F464" s="17" t="str">
        <f>IF(A464="","",SUMPRODUCT((Completions!A$2:A$5000=A464)*IFERROR(VLOOKUP(Completions!B$2:B$5000,$J$4:$K$18,2,FALSE()),0)))</f>
        <v/>
      </c>
      <c r="G464" s="17" t="str">
        <f t="shared" si="7"/>
        <v/>
      </c>
      <c r="H464" s="17" t="str">
        <f>IF(A464="","",IFERROR(TEXT(_xludf.maxifs(Completions!G:G,Completions!A:A,A464),"yyyy-mm-dd hh:mm"),"—"))</f>
        <v/>
      </c>
    </row>
    <row r="465" spans="1:8" ht="21.75" customHeight="1" x14ac:dyDescent="0.2">
      <c r="A465" s="16" t="str">
        <f>IFERROR(IF(Members!A462="","",Members!A462),"")</f>
        <v/>
      </c>
      <c r="B465" s="16" t="str">
        <f>IFERROR(IF(Members!A462="","",Members!B462),"")</f>
        <v/>
      </c>
      <c r="C465" s="16" t="str">
        <f>IFERROR(IF(Members!A462="","",Members!C462),"")</f>
        <v/>
      </c>
      <c r="D465" s="16" t="str">
        <f>IFERROR(IF(Members!A462="","",Members!D462),"")</f>
        <v/>
      </c>
      <c r="E465" s="16" t="str">
        <f>IF(A465="","",COUNTIF(Completions!A:A,A465))</f>
        <v/>
      </c>
      <c r="F465" s="16" t="str">
        <f>IF(A465="","",SUMPRODUCT((Completions!A$2:A$5000=A465)*IFERROR(VLOOKUP(Completions!B$2:B$5000,$J$4:$K$18,2,FALSE()),0)))</f>
        <v/>
      </c>
      <c r="G465" s="16" t="str">
        <f t="shared" si="7"/>
        <v/>
      </c>
      <c r="H465" s="16" t="str">
        <f>IF(A465="","",IFERROR(TEXT(_xludf.maxifs(Completions!G:G,Completions!A:A,A465),"yyyy-mm-dd hh:mm"),"—"))</f>
        <v/>
      </c>
    </row>
    <row r="466" spans="1:8" ht="21.75" customHeight="1" x14ac:dyDescent="0.2">
      <c r="A466" s="17" t="str">
        <f>IFERROR(IF(Members!A463="","",Members!A463),"")</f>
        <v/>
      </c>
      <c r="B466" s="17" t="str">
        <f>IFERROR(IF(Members!A463="","",Members!B463),"")</f>
        <v/>
      </c>
      <c r="C466" s="17" t="str">
        <f>IFERROR(IF(Members!A463="","",Members!C463),"")</f>
        <v/>
      </c>
      <c r="D466" s="17" t="str">
        <f>IFERROR(IF(Members!A463="","",Members!D463),"")</f>
        <v/>
      </c>
      <c r="E466" s="17" t="str">
        <f>IF(A466="","",COUNTIF(Completions!A:A,A466))</f>
        <v/>
      </c>
      <c r="F466" s="17" t="str">
        <f>IF(A466="","",SUMPRODUCT((Completions!A$2:A$5000=A466)*IFERROR(VLOOKUP(Completions!B$2:B$5000,$J$4:$K$18,2,FALSE()),0)))</f>
        <v/>
      </c>
      <c r="G466" s="17" t="str">
        <f t="shared" si="7"/>
        <v/>
      </c>
      <c r="H466" s="17" t="str">
        <f>IF(A466="","",IFERROR(TEXT(_xludf.maxifs(Completions!G:G,Completions!A:A,A466),"yyyy-mm-dd hh:mm"),"—"))</f>
        <v/>
      </c>
    </row>
    <row r="467" spans="1:8" ht="21.75" customHeight="1" x14ac:dyDescent="0.2">
      <c r="A467" s="16" t="str">
        <f>IFERROR(IF(Members!A464="","",Members!A464),"")</f>
        <v/>
      </c>
      <c r="B467" s="16" t="str">
        <f>IFERROR(IF(Members!A464="","",Members!B464),"")</f>
        <v/>
      </c>
      <c r="C467" s="16" t="str">
        <f>IFERROR(IF(Members!A464="","",Members!C464),"")</f>
        <v/>
      </c>
      <c r="D467" s="16" t="str">
        <f>IFERROR(IF(Members!A464="","",Members!D464),"")</f>
        <v/>
      </c>
      <c r="E467" s="16" t="str">
        <f>IF(A467="","",COUNTIF(Completions!A:A,A467))</f>
        <v/>
      </c>
      <c r="F467" s="16" t="str">
        <f>IF(A467="","",SUMPRODUCT((Completions!A$2:A$5000=A467)*IFERROR(VLOOKUP(Completions!B$2:B$5000,$J$4:$K$18,2,FALSE()),0)))</f>
        <v/>
      </c>
      <c r="G467" s="16" t="str">
        <f t="shared" si="7"/>
        <v/>
      </c>
      <c r="H467" s="16" t="str">
        <f>IF(A467="","",IFERROR(TEXT(_xludf.maxifs(Completions!G:G,Completions!A:A,A467),"yyyy-mm-dd hh:mm"),"—"))</f>
        <v/>
      </c>
    </row>
    <row r="468" spans="1:8" ht="21.75" customHeight="1" x14ac:dyDescent="0.2">
      <c r="A468" s="17" t="str">
        <f>IFERROR(IF(Members!A465="","",Members!A465),"")</f>
        <v/>
      </c>
      <c r="B468" s="17" t="str">
        <f>IFERROR(IF(Members!A465="","",Members!B465),"")</f>
        <v/>
      </c>
      <c r="C468" s="17" t="str">
        <f>IFERROR(IF(Members!A465="","",Members!C465),"")</f>
        <v/>
      </c>
      <c r="D468" s="17" t="str">
        <f>IFERROR(IF(Members!A465="","",Members!D465),"")</f>
        <v/>
      </c>
      <c r="E468" s="17" t="str">
        <f>IF(A468="","",COUNTIF(Completions!A:A,A468))</f>
        <v/>
      </c>
      <c r="F468" s="17" t="str">
        <f>IF(A468="","",SUMPRODUCT((Completions!A$2:A$5000=A468)*IFERROR(VLOOKUP(Completions!B$2:B$5000,$J$4:$K$18,2,FALSE()),0)))</f>
        <v/>
      </c>
      <c r="G468" s="17" t="str">
        <f t="shared" si="7"/>
        <v/>
      </c>
      <c r="H468" s="17" t="str">
        <f>IF(A468="","",IFERROR(TEXT(_xludf.maxifs(Completions!G:G,Completions!A:A,A468),"yyyy-mm-dd hh:mm"),"—"))</f>
        <v/>
      </c>
    </row>
    <row r="469" spans="1:8" ht="21.75" customHeight="1" x14ac:dyDescent="0.2">
      <c r="A469" s="16" t="str">
        <f>IFERROR(IF(Members!A466="","",Members!A466),"")</f>
        <v/>
      </c>
      <c r="B469" s="16" t="str">
        <f>IFERROR(IF(Members!A466="","",Members!B466),"")</f>
        <v/>
      </c>
      <c r="C469" s="16" t="str">
        <f>IFERROR(IF(Members!A466="","",Members!C466),"")</f>
        <v/>
      </c>
      <c r="D469" s="16" t="str">
        <f>IFERROR(IF(Members!A466="","",Members!D466),"")</f>
        <v/>
      </c>
      <c r="E469" s="16" t="str">
        <f>IF(A469="","",COUNTIF(Completions!A:A,A469))</f>
        <v/>
      </c>
      <c r="F469" s="16" t="str">
        <f>IF(A469="","",SUMPRODUCT((Completions!A$2:A$5000=A469)*IFERROR(VLOOKUP(Completions!B$2:B$5000,$J$4:$K$18,2,FALSE()),0)))</f>
        <v/>
      </c>
      <c r="G469" s="16" t="str">
        <f t="shared" si="7"/>
        <v/>
      </c>
      <c r="H469" s="16" t="str">
        <f>IF(A469="","",IFERROR(TEXT(_xludf.maxifs(Completions!G:G,Completions!A:A,A469),"yyyy-mm-dd hh:mm"),"—"))</f>
        <v/>
      </c>
    </row>
    <row r="470" spans="1:8" ht="21.75" customHeight="1" x14ac:dyDescent="0.2">
      <c r="A470" s="17" t="str">
        <f>IFERROR(IF(Members!A467="","",Members!A467),"")</f>
        <v/>
      </c>
      <c r="B470" s="17" t="str">
        <f>IFERROR(IF(Members!A467="","",Members!B467),"")</f>
        <v/>
      </c>
      <c r="C470" s="17" t="str">
        <f>IFERROR(IF(Members!A467="","",Members!C467),"")</f>
        <v/>
      </c>
      <c r="D470" s="17" t="str">
        <f>IFERROR(IF(Members!A467="","",Members!D467),"")</f>
        <v/>
      </c>
      <c r="E470" s="17" t="str">
        <f>IF(A470="","",COUNTIF(Completions!A:A,A470))</f>
        <v/>
      </c>
      <c r="F470" s="17" t="str">
        <f>IF(A470="","",SUMPRODUCT((Completions!A$2:A$5000=A470)*IFERROR(VLOOKUP(Completions!B$2:B$5000,$J$4:$K$18,2,FALSE()),0)))</f>
        <v/>
      </c>
      <c r="G470" s="17" t="str">
        <f t="shared" si="7"/>
        <v/>
      </c>
      <c r="H470" s="17" t="str">
        <f>IF(A470="","",IFERROR(TEXT(_xludf.maxifs(Completions!G:G,Completions!A:A,A470),"yyyy-mm-dd hh:mm"),"—"))</f>
        <v/>
      </c>
    </row>
    <row r="471" spans="1:8" ht="21.75" customHeight="1" x14ac:dyDescent="0.2">
      <c r="A471" s="16" t="str">
        <f>IFERROR(IF(Members!A468="","",Members!A468),"")</f>
        <v/>
      </c>
      <c r="B471" s="16" t="str">
        <f>IFERROR(IF(Members!A468="","",Members!B468),"")</f>
        <v/>
      </c>
      <c r="C471" s="16" t="str">
        <f>IFERROR(IF(Members!A468="","",Members!C468),"")</f>
        <v/>
      </c>
      <c r="D471" s="16" t="str">
        <f>IFERROR(IF(Members!A468="","",Members!D468),"")</f>
        <v/>
      </c>
      <c r="E471" s="16" t="str">
        <f>IF(A471="","",COUNTIF(Completions!A:A,A471))</f>
        <v/>
      </c>
      <c r="F471" s="16" t="str">
        <f>IF(A471="","",SUMPRODUCT((Completions!A$2:A$5000=A471)*IFERROR(VLOOKUP(Completions!B$2:B$5000,$J$4:$K$18,2,FALSE()),0)))</f>
        <v/>
      </c>
      <c r="G471" s="16" t="str">
        <f t="shared" si="7"/>
        <v/>
      </c>
      <c r="H471" s="16" t="str">
        <f>IF(A471="","",IFERROR(TEXT(_xludf.maxifs(Completions!G:G,Completions!A:A,A471),"yyyy-mm-dd hh:mm"),"—"))</f>
        <v/>
      </c>
    </row>
    <row r="472" spans="1:8" ht="21.75" customHeight="1" x14ac:dyDescent="0.2">
      <c r="A472" s="17" t="str">
        <f>IFERROR(IF(Members!A469="","",Members!A469),"")</f>
        <v/>
      </c>
      <c r="B472" s="17" t="str">
        <f>IFERROR(IF(Members!A469="","",Members!B469),"")</f>
        <v/>
      </c>
      <c r="C472" s="17" t="str">
        <f>IFERROR(IF(Members!A469="","",Members!C469),"")</f>
        <v/>
      </c>
      <c r="D472" s="17" t="str">
        <f>IFERROR(IF(Members!A469="","",Members!D469),"")</f>
        <v/>
      </c>
      <c r="E472" s="17" t="str">
        <f>IF(A472="","",COUNTIF(Completions!A:A,A472))</f>
        <v/>
      </c>
      <c r="F472" s="17" t="str">
        <f>IF(A472="","",SUMPRODUCT((Completions!A$2:A$5000=A472)*IFERROR(VLOOKUP(Completions!B$2:B$5000,$J$4:$K$18,2,FALSE()),0)))</f>
        <v/>
      </c>
      <c r="G472" s="17" t="str">
        <f t="shared" si="7"/>
        <v/>
      </c>
      <c r="H472" s="17" t="str">
        <f>IF(A472="","",IFERROR(TEXT(_xludf.maxifs(Completions!G:G,Completions!A:A,A472),"yyyy-mm-dd hh:mm"),"—"))</f>
        <v/>
      </c>
    </row>
    <row r="473" spans="1:8" ht="21.75" customHeight="1" x14ac:dyDescent="0.2">
      <c r="A473" s="16" t="str">
        <f>IFERROR(IF(Members!A470="","",Members!A470),"")</f>
        <v/>
      </c>
      <c r="B473" s="16" t="str">
        <f>IFERROR(IF(Members!A470="","",Members!B470),"")</f>
        <v/>
      </c>
      <c r="C473" s="16" t="str">
        <f>IFERROR(IF(Members!A470="","",Members!C470),"")</f>
        <v/>
      </c>
      <c r="D473" s="16" t="str">
        <f>IFERROR(IF(Members!A470="","",Members!D470),"")</f>
        <v/>
      </c>
      <c r="E473" s="16" t="str">
        <f>IF(A473="","",COUNTIF(Completions!A:A,A473))</f>
        <v/>
      </c>
      <c r="F473" s="16" t="str">
        <f>IF(A473="","",SUMPRODUCT((Completions!A$2:A$5000=A473)*IFERROR(VLOOKUP(Completions!B$2:B$5000,$J$4:$K$18,2,FALSE()),0)))</f>
        <v/>
      </c>
      <c r="G473" s="16" t="str">
        <f t="shared" si="7"/>
        <v/>
      </c>
      <c r="H473" s="16" t="str">
        <f>IF(A473="","",IFERROR(TEXT(_xludf.maxifs(Completions!G:G,Completions!A:A,A473),"yyyy-mm-dd hh:mm"),"—"))</f>
        <v/>
      </c>
    </row>
    <row r="474" spans="1:8" ht="21.75" customHeight="1" x14ac:dyDescent="0.2">
      <c r="A474" s="17" t="str">
        <f>IFERROR(IF(Members!A471="","",Members!A471),"")</f>
        <v/>
      </c>
      <c r="B474" s="17" t="str">
        <f>IFERROR(IF(Members!A471="","",Members!B471),"")</f>
        <v/>
      </c>
      <c r="C474" s="17" t="str">
        <f>IFERROR(IF(Members!A471="","",Members!C471),"")</f>
        <v/>
      </c>
      <c r="D474" s="17" t="str">
        <f>IFERROR(IF(Members!A471="","",Members!D471),"")</f>
        <v/>
      </c>
      <c r="E474" s="17" t="str">
        <f>IF(A474="","",COUNTIF(Completions!A:A,A474))</f>
        <v/>
      </c>
      <c r="F474" s="17" t="str">
        <f>IF(A474="","",SUMPRODUCT((Completions!A$2:A$5000=A474)*IFERROR(VLOOKUP(Completions!B$2:B$5000,$J$4:$K$18,2,FALSE()),0)))</f>
        <v/>
      </c>
      <c r="G474" s="17" t="str">
        <f t="shared" si="7"/>
        <v/>
      </c>
      <c r="H474" s="17" t="str">
        <f>IF(A474="","",IFERROR(TEXT(_xludf.maxifs(Completions!G:G,Completions!A:A,A474),"yyyy-mm-dd hh:mm"),"—"))</f>
        <v/>
      </c>
    </row>
    <row r="475" spans="1:8" ht="21.75" customHeight="1" x14ac:dyDescent="0.2">
      <c r="A475" s="16" t="str">
        <f>IFERROR(IF(Members!A472="","",Members!A472),"")</f>
        <v/>
      </c>
      <c r="B475" s="16" t="str">
        <f>IFERROR(IF(Members!A472="","",Members!B472),"")</f>
        <v/>
      </c>
      <c r="C475" s="16" t="str">
        <f>IFERROR(IF(Members!A472="","",Members!C472),"")</f>
        <v/>
      </c>
      <c r="D475" s="16" t="str">
        <f>IFERROR(IF(Members!A472="","",Members!D472),"")</f>
        <v/>
      </c>
      <c r="E475" s="16" t="str">
        <f>IF(A475="","",COUNTIF(Completions!A:A,A475))</f>
        <v/>
      </c>
      <c r="F475" s="16" t="str">
        <f>IF(A475="","",SUMPRODUCT((Completions!A$2:A$5000=A475)*IFERROR(VLOOKUP(Completions!B$2:B$5000,$J$4:$K$18,2,FALSE()),0)))</f>
        <v/>
      </c>
      <c r="G475" s="16" t="str">
        <f t="shared" si="7"/>
        <v/>
      </c>
      <c r="H475" s="16" t="str">
        <f>IF(A475="","",IFERROR(TEXT(_xludf.maxifs(Completions!G:G,Completions!A:A,A475),"yyyy-mm-dd hh:mm"),"—"))</f>
        <v/>
      </c>
    </row>
    <row r="476" spans="1:8" ht="21.75" customHeight="1" x14ac:dyDescent="0.2">
      <c r="A476" s="17" t="str">
        <f>IFERROR(IF(Members!A473="","",Members!A473),"")</f>
        <v/>
      </c>
      <c r="B476" s="17" t="str">
        <f>IFERROR(IF(Members!A473="","",Members!B473),"")</f>
        <v/>
      </c>
      <c r="C476" s="17" t="str">
        <f>IFERROR(IF(Members!A473="","",Members!C473),"")</f>
        <v/>
      </c>
      <c r="D476" s="17" t="str">
        <f>IFERROR(IF(Members!A473="","",Members!D473),"")</f>
        <v/>
      </c>
      <c r="E476" s="17" t="str">
        <f>IF(A476="","",COUNTIF(Completions!A:A,A476))</f>
        <v/>
      </c>
      <c r="F476" s="17" t="str">
        <f>IF(A476="","",SUMPRODUCT((Completions!A$2:A$5000=A476)*IFERROR(VLOOKUP(Completions!B$2:B$5000,$J$4:$K$18,2,FALSE()),0)))</f>
        <v/>
      </c>
      <c r="G476" s="17" t="str">
        <f t="shared" si="7"/>
        <v/>
      </c>
      <c r="H476" s="17" t="str">
        <f>IF(A476="","",IFERROR(TEXT(_xludf.maxifs(Completions!G:G,Completions!A:A,A476),"yyyy-mm-dd hh:mm"),"—"))</f>
        <v/>
      </c>
    </row>
    <row r="477" spans="1:8" ht="21.75" customHeight="1" x14ac:dyDescent="0.2">
      <c r="A477" s="16" t="str">
        <f>IFERROR(IF(Members!A474="","",Members!A474),"")</f>
        <v/>
      </c>
      <c r="B477" s="16" t="str">
        <f>IFERROR(IF(Members!A474="","",Members!B474),"")</f>
        <v/>
      </c>
      <c r="C477" s="16" t="str">
        <f>IFERROR(IF(Members!A474="","",Members!C474),"")</f>
        <v/>
      </c>
      <c r="D477" s="16" t="str">
        <f>IFERROR(IF(Members!A474="","",Members!D474),"")</f>
        <v/>
      </c>
      <c r="E477" s="16" t="str">
        <f>IF(A477="","",COUNTIF(Completions!A:A,A477))</f>
        <v/>
      </c>
      <c r="F477" s="16" t="str">
        <f>IF(A477="","",SUMPRODUCT((Completions!A$2:A$5000=A477)*IFERROR(VLOOKUP(Completions!B$2:B$5000,$J$4:$K$18,2,FALSE()),0)))</f>
        <v/>
      </c>
      <c r="G477" s="16" t="str">
        <f t="shared" si="7"/>
        <v/>
      </c>
      <c r="H477" s="16" t="str">
        <f>IF(A477="","",IFERROR(TEXT(_xludf.maxifs(Completions!G:G,Completions!A:A,A477),"yyyy-mm-dd hh:mm"),"—"))</f>
        <v/>
      </c>
    </row>
    <row r="478" spans="1:8" ht="21.75" customHeight="1" x14ac:dyDescent="0.2">
      <c r="A478" s="17" t="str">
        <f>IFERROR(IF(Members!A475="","",Members!A475),"")</f>
        <v/>
      </c>
      <c r="B478" s="17" t="str">
        <f>IFERROR(IF(Members!A475="","",Members!B475),"")</f>
        <v/>
      </c>
      <c r="C478" s="17" t="str">
        <f>IFERROR(IF(Members!A475="","",Members!C475),"")</f>
        <v/>
      </c>
      <c r="D478" s="17" t="str">
        <f>IFERROR(IF(Members!A475="","",Members!D475),"")</f>
        <v/>
      </c>
      <c r="E478" s="17" t="str">
        <f>IF(A478="","",COUNTIF(Completions!A:A,A478))</f>
        <v/>
      </c>
      <c r="F478" s="17" t="str">
        <f>IF(A478="","",SUMPRODUCT((Completions!A$2:A$5000=A478)*IFERROR(VLOOKUP(Completions!B$2:B$5000,$J$4:$K$18,2,FALSE()),0)))</f>
        <v/>
      </c>
      <c r="G478" s="17" t="str">
        <f t="shared" si="7"/>
        <v/>
      </c>
      <c r="H478" s="17" t="str">
        <f>IF(A478="","",IFERROR(TEXT(_xludf.maxifs(Completions!G:G,Completions!A:A,A478),"yyyy-mm-dd hh:mm"),"—"))</f>
        <v/>
      </c>
    </row>
    <row r="479" spans="1:8" ht="21.75" customHeight="1" x14ac:dyDescent="0.2">
      <c r="A479" s="16" t="str">
        <f>IFERROR(IF(Members!A476="","",Members!A476),"")</f>
        <v/>
      </c>
      <c r="B479" s="16" t="str">
        <f>IFERROR(IF(Members!A476="","",Members!B476),"")</f>
        <v/>
      </c>
      <c r="C479" s="16" t="str">
        <f>IFERROR(IF(Members!A476="","",Members!C476),"")</f>
        <v/>
      </c>
      <c r="D479" s="16" t="str">
        <f>IFERROR(IF(Members!A476="","",Members!D476),"")</f>
        <v/>
      </c>
      <c r="E479" s="16" t="str">
        <f>IF(A479="","",COUNTIF(Completions!A:A,A479))</f>
        <v/>
      </c>
      <c r="F479" s="16" t="str">
        <f>IF(A479="","",SUMPRODUCT((Completions!A$2:A$5000=A479)*IFERROR(VLOOKUP(Completions!B$2:B$5000,$J$4:$K$18,2,FALSE()),0)))</f>
        <v/>
      </c>
      <c r="G479" s="16" t="str">
        <f t="shared" si="7"/>
        <v/>
      </c>
      <c r="H479" s="16" t="str">
        <f>IF(A479="","",IFERROR(TEXT(_xludf.maxifs(Completions!G:G,Completions!A:A,A479),"yyyy-mm-dd hh:mm"),"—"))</f>
        <v/>
      </c>
    </row>
    <row r="480" spans="1:8" ht="21.75" customHeight="1" x14ac:dyDescent="0.2">
      <c r="A480" s="17" t="str">
        <f>IFERROR(IF(Members!A477="","",Members!A477),"")</f>
        <v/>
      </c>
      <c r="B480" s="17" t="str">
        <f>IFERROR(IF(Members!A477="","",Members!B477),"")</f>
        <v/>
      </c>
      <c r="C480" s="17" t="str">
        <f>IFERROR(IF(Members!A477="","",Members!C477),"")</f>
        <v/>
      </c>
      <c r="D480" s="17" t="str">
        <f>IFERROR(IF(Members!A477="","",Members!D477),"")</f>
        <v/>
      </c>
      <c r="E480" s="17" t="str">
        <f>IF(A480="","",COUNTIF(Completions!A:A,A480))</f>
        <v/>
      </c>
      <c r="F480" s="17" t="str">
        <f>IF(A480="","",SUMPRODUCT((Completions!A$2:A$5000=A480)*IFERROR(VLOOKUP(Completions!B$2:B$5000,$J$4:$K$18,2,FALSE()),0)))</f>
        <v/>
      </c>
      <c r="G480" s="17" t="str">
        <f t="shared" si="7"/>
        <v/>
      </c>
      <c r="H480" s="17" t="str">
        <f>IF(A480="","",IFERROR(TEXT(_xludf.maxifs(Completions!G:G,Completions!A:A,A480),"yyyy-mm-dd hh:mm"),"—"))</f>
        <v/>
      </c>
    </row>
    <row r="481" spans="1:8" ht="21.75" customHeight="1" x14ac:dyDescent="0.2">
      <c r="A481" s="16" t="str">
        <f>IFERROR(IF(Members!A478="","",Members!A478),"")</f>
        <v/>
      </c>
      <c r="B481" s="16" t="str">
        <f>IFERROR(IF(Members!A478="","",Members!B478),"")</f>
        <v/>
      </c>
      <c r="C481" s="16" t="str">
        <f>IFERROR(IF(Members!A478="","",Members!C478),"")</f>
        <v/>
      </c>
      <c r="D481" s="16" t="str">
        <f>IFERROR(IF(Members!A478="","",Members!D478),"")</f>
        <v/>
      </c>
      <c r="E481" s="16" t="str">
        <f>IF(A481="","",COUNTIF(Completions!A:A,A481))</f>
        <v/>
      </c>
      <c r="F481" s="16" t="str">
        <f>IF(A481="","",SUMPRODUCT((Completions!A$2:A$5000=A481)*IFERROR(VLOOKUP(Completions!B$2:B$5000,$J$4:$K$18,2,FALSE()),0)))</f>
        <v/>
      </c>
      <c r="G481" s="16" t="str">
        <f t="shared" si="7"/>
        <v/>
      </c>
      <c r="H481" s="16" t="str">
        <f>IF(A481="","",IFERROR(TEXT(_xludf.maxifs(Completions!G:G,Completions!A:A,A481),"yyyy-mm-dd hh:mm"),"—"))</f>
        <v/>
      </c>
    </row>
    <row r="482" spans="1:8" ht="21.75" customHeight="1" x14ac:dyDescent="0.2">
      <c r="A482" s="17" t="str">
        <f>IFERROR(IF(Members!A479="","",Members!A479),"")</f>
        <v/>
      </c>
      <c r="B482" s="17" t="str">
        <f>IFERROR(IF(Members!A479="","",Members!B479),"")</f>
        <v/>
      </c>
      <c r="C482" s="17" t="str">
        <f>IFERROR(IF(Members!A479="","",Members!C479),"")</f>
        <v/>
      </c>
      <c r="D482" s="17" t="str">
        <f>IFERROR(IF(Members!A479="","",Members!D479),"")</f>
        <v/>
      </c>
      <c r="E482" s="17" t="str">
        <f>IF(A482="","",COUNTIF(Completions!A:A,A482))</f>
        <v/>
      </c>
      <c r="F482" s="17" t="str">
        <f>IF(A482="","",SUMPRODUCT((Completions!A$2:A$5000=A482)*IFERROR(VLOOKUP(Completions!B$2:B$5000,$J$4:$K$18,2,FALSE()),0)))</f>
        <v/>
      </c>
      <c r="G482" s="17" t="str">
        <f t="shared" si="7"/>
        <v/>
      </c>
      <c r="H482" s="17" t="str">
        <f>IF(A482="","",IFERROR(TEXT(_xludf.maxifs(Completions!G:G,Completions!A:A,A482),"yyyy-mm-dd hh:mm"),"—"))</f>
        <v/>
      </c>
    </row>
    <row r="483" spans="1:8" ht="21.75" customHeight="1" x14ac:dyDescent="0.2">
      <c r="A483" s="16" t="str">
        <f>IFERROR(IF(Members!A480="","",Members!A480),"")</f>
        <v/>
      </c>
      <c r="B483" s="16" t="str">
        <f>IFERROR(IF(Members!A480="","",Members!B480),"")</f>
        <v/>
      </c>
      <c r="C483" s="16" t="str">
        <f>IFERROR(IF(Members!A480="","",Members!C480),"")</f>
        <v/>
      </c>
      <c r="D483" s="16" t="str">
        <f>IFERROR(IF(Members!A480="","",Members!D480),"")</f>
        <v/>
      </c>
      <c r="E483" s="16" t="str">
        <f>IF(A483="","",COUNTIF(Completions!A:A,A483))</f>
        <v/>
      </c>
      <c r="F483" s="16" t="str">
        <f>IF(A483="","",SUMPRODUCT((Completions!A$2:A$5000=A483)*IFERROR(VLOOKUP(Completions!B$2:B$5000,$J$4:$K$18,2,FALSE()),0)))</f>
        <v/>
      </c>
      <c r="G483" s="16" t="str">
        <f t="shared" si="7"/>
        <v/>
      </c>
      <c r="H483" s="16" t="str">
        <f>IF(A483="","",IFERROR(TEXT(_xludf.maxifs(Completions!G:G,Completions!A:A,A483),"yyyy-mm-dd hh:mm"),"—"))</f>
        <v/>
      </c>
    </row>
    <row r="484" spans="1:8" ht="21.75" customHeight="1" x14ac:dyDescent="0.2">
      <c r="A484" s="17" t="str">
        <f>IFERROR(IF(Members!A481="","",Members!A481),"")</f>
        <v/>
      </c>
      <c r="B484" s="17" t="str">
        <f>IFERROR(IF(Members!A481="","",Members!B481),"")</f>
        <v/>
      </c>
      <c r="C484" s="17" t="str">
        <f>IFERROR(IF(Members!A481="","",Members!C481),"")</f>
        <v/>
      </c>
      <c r="D484" s="17" t="str">
        <f>IFERROR(IF(Members!A481="","",Members!D481),"")</f>
        <v/>
      </c>
      <c r="E484" s="17" t="str">
        <f>IF(A484="","",COUNTIF(Completions!A:A,A484))</f>
        <v/>
      </c>
      <c r="F484" s="17" t="str">
        <f>IF(A484="","",SUMPRODUCT((Completions!A$2:A$5000=A484)*IFERROR(VLOOKUP(Completions!B$2:B$5000,$J$4:$K$18,2,FALSE()),0)))</f>
        <v/>
      </c>
      <c r="G484" s="17" t="str">
        <f t="shared" si="7"/>
        <v/>
      </c>
      <c r="H484" s="17" t="str">
        <f>IF(A484="","",IFERROR(TEXT(_xludf.maxifs(Completions!G:G,Completions!A:A,A484),"yyyy-mm-dd hh:mm"),"—"))</f>
        <v/>
      </c>
    </row>
    <row r="485" spans="1:8" ht="21.75" customHeight="1" x14ac:dyDescent="0.2">
      <c r="A485" s="16" t="str">
        <f>IFERROR(IF(Members!A482="","",Members!A482),"")</f>
        <v/>
      </c>
      <c r="B485" s="16" t="str">
        <f>IFERROR(IF(Members!A482="","",Members!B482),"")</f>
        <v/>
      </c>
      <c r="C485" s="16" t="str">
        <f>IFERROR(IF(Members!A482="","",Members!C482),"")</f>
        <v/>
      </c>
      <c r="D485" s="16" t="str">
        <f>IFERROR(IF(Members!A482="","",Members!D482),"")</f>
        <v/>
      </c>
      <c r="E485" s="16" t="str">
        <f>IF(A485="","",COUNTIF(Completions!A:A,A485))</f>
        <v/>
      </c>
      <c r="F485" s="16" t="str">
        <f>IF(A485="","",SUMPRODUCT((Completions!A$2:A$5000=A485)*IFERROR(VLOOKUP(Completions!B$2:B$5000,$J$4:$K$18,2,FALSE()),0)))</f>
        <v/>
      </c>
      <c r="G485" s="16" t="str">
        <f t="shared" si="7"/>
        <v/>
      </c>
      <c r="H485" s="16" t="str">
        <f>IF(A485="","",IFERROR(TEXT(_xludf.maxifs(Completions!G:G,Completions!A:A,A485),"yyyy-mm-dd hh:mm"),"—"))</f>
        <v/>
      </c>
    </row>
    <row r="486" spans="1:8" ht="21.75" customHeight="1" x14ac:dyDescent="0.2">
      <c r="A486" s="17" t="str">
        <f>IFERROR(IF(Members!A483="","",Members!A483),"")</f>
        <v/>
      </c>
      <c r="B486" s="17" t="str">
        <f>IFERROR(IF(Members!A483="","",Members!B483),"")</f>
        <v/>
      </c>
      <c r="C486" s="17" t="str">
        <f>IFERROR(IF(Members!A483="","",Members!C483),"")</f>
        <v/>
      </c>
      <c r="D486" s="17" t="str">
        <f>IFERROR(IF(Members!A483="","",Members!D483),"")</f>
        <v/>
      </c>
      <c r="E486" s="17" t="str">
        <f>IF(A486="","",COUNTIF(Completions!A:A,A486))</f>
        <v/>
      </c>
      <c r="F486" s="17" t="str">
        <f>IF(A486="","",SUMPRODUCT((Completions!A$2:A$5000=A486)*IFERROR(VLOOKUP(Completions!B$2:B$5000,$J$4:$K$18,2,FALSE()),0)))</f>
        <v/>
      </c>
      <c r="G486" s="17" t="str">
        <f t="shared" si="7"/>
        <v/>
      </c>
      <c r="H486" s="17" t="str">
        <f>IF(A486="","",IFERROR(TEXT(_xludf.maxifs(Completions!G:G,Completions!A:A,A486),"yyyy-mm-dd hh:mm"),"—"))</f>
        <v/>
      </c>
    </row>
    <row r="487" spans="1:8" ht="21.75" customHeight="1" x14ac:dyDescent="0.2">
      <c r="A487" s="16" t="str">
        <f>IFERROR(IF(Members!A484="","",Members!A484),"")</f>
        <v/>
      </c>
      <c r="B487" s="16" t="str">
        <f>IFERROR(IF(Members!A484="","",Members!B484),"")</f>
        <v/>
      </c>
      <c r="C487" s="16" t="str">
        <f>IFERROR(IF(Members!A484="","",Members!C484),"")</f>
        <v/>
      </c>
      <c r="D487" s="16" t="str">
        <f>IFERROR(IF(Members!A484="","",Members!D484),"")</f>
        <v/>
      </c>
      <c r="E487" s="16" t="str">
        <f>IF(A487="","",COUNTIF(Completions!A:A,A487))</f>
        <v/>
      </c>
      <c r="F487" s="16" t="str">
        <f>IF(A487="","",SUMPRODUCT((Completions!A$2:A$5000=A487)*IFERROR(VLOOKUP(Completions!B$2:B$5000,$J$4:$K$18,2,FALSE()),0)))</f>
        <v/>
      </c>
      <c r="G487" s="16" t="str">
        <f t="shared" si="7"/>
        <v/>
      </c>
      <c r="H487" s="16" t="str">
        <f>IF(A487="","",IFERROR(TEXT(_xludf.maxifs(Completions!G:G,Completions!A:A,A487),"yyyy-mm-dd hh:mm"),"—"))</f>
        <v/>
      </c>
    </row>
    <row r="488" spans="1:8" ht="21.75" customHeight="1" x14ac:dyDescent="0.2">
      <c r="A488" s="17" t="str">
        <f>IFERROR(IF(Members!A485="","",Members!A485),"")</f>
        <v/>
      </c>
      <c r="B488" s="17" t="str">
        <f>IFERROR(IF(Members!A485="","",Members!B485),"")</f>
        <v/>
      </c>
      <c r="C488" s="17" t="str">
        <f>IFERROR(IF(Members!A485="","",Members!C485),"")</f>
        <v/>
      </c>
      <c r="D488" s="17" t="str">
        <f>IFERROR(IF(Members!A485="","",Members!D485),"")</f>
        <v/>
      </c>
      <c r="E488" s="17" t="str">
        <f>IF(A488="","",COUNTIF(Completions!A:A,A488))</f>
        <v/>
      </c>
      <c r="F488" s="17" t="str">
        <f>IF(A488="","",SUMPRODUCT((Completions!A$2:A$5000=A488)*IFERROR(VLOOKUP(Completions!B$2:B$5000,$J$4:$K$18,2,FALSE()),0)))</f>
        <v/>
      </c>
      <c r="G488" s="17" t="str">
        <f t="shared" si="7"/>
        <v/>
      </c>
      <c r="H488" s="17" t="str">
        <f>IF(A488="","",IFERROR(TEXT(_xludf.maxifs(Completions!G:G,Completions!A:A,A488),"yyyy-mm-dd hh:mm"),"—"))</f>
        <v/>
      </c>
    </row>
    <row r="489" spans="1:8" ht="21.75" customHeight="1" x14ac:dyDescent="0.2">
      <c r="A489" s="16" t="str">
        <f>IFERROR(IF(Members!A486="","",Members!A486),"")</f>
        <v/>
      </c>
      <c r="B489" s="16" t="str">
        <f>IFERROR(IF(Members!A486="","",Members!B486),"")</f>
        <v/>
      </c>
      <c r="C489" s="16" t="str">
        <f>IFERROR(IF(Members!A486="","",Members!C486),"")</f>
        <v/>
      </c>
      <c r="D489" s="16" t="str">
        <f>IFERROR(IF(Members!A486="","",Members!D486),"")</f>
        <v/>
      </c>
      <c r="E489" s="16" t="str">
        <f>IF(A489="","",COUNTIF(Completions!A:A,A489))</f>
        <v/>
      </c>
      <c r="F489" s="16" t="str">
        <f>IF(A489="","",SUMPRODUCT((Completions!A$2:A$5000=A489)*IFERROR(VLOOKUP(Completions!B$2:B$5000,$J$4:$K$18,2,FALSE()),0)))</f>
        <v/>
      </c>
      <c r="G489" s="16" t="str">
        <f t="shared" si="7"/>
        <v/>
      </c>
      <c r="H489" s="16" t="str">
        <f>IF(A489="","",IFERROR(TEXT(_xludf.maxifs(Completions!G:G,Completions!A:A,A489),"yyyy-mm-dd hh:mm"),"—"))</f>
        <v/>
      </c>
    </row>
    <row r="490" spans="1:8" ht="21.75" customHeight="1" x14ac:dyDescent="0.2">
      <c r="A490" s="17" t="str">
        <f>IFERROR(IF(Members!A487="","",Members!A487),"")</f>
        <v/>
      </c>
      <c r="B490" s="17" t="str">
        <f>IFERROR(IF(Members!A487="","",Members!B487),"")</f>
        <v/>
      </c>
      <c r="C490" s="17" t="str">
        <f>IFERROR(IF(Members!A487="","",Members!C487),"")</f>
        <v/>
      </c>
      <c r="D490" s="17" t="str">
        <f>IFERROR(IF(Members!A487="","",Members!D487),"")</f>
        <v/>
      </c>
      <c r="E490" s="17" t="str">
        <f>IF(A490="","",COUNTIF(Completions!A:A,A490))</f>
        <v/>
      </c>
      <c r="F490" s="17" t="str">
        <f>IF(A490="","",SUMPRODUCT((Completions!A$2:A$5000=A490)*IFERROR(VLOOKUP(Completions!B$2:B$5000,$J$4:$K$18,2,FALSE()),0)))</f>
        <v/>
      </c>
      <c r="G490" s="17" t="str">
        <f t="shared" si="7"/>
        <v/>
      </c>
      <c r="H490" s="17" t="str">
        <f>IF(A490="","",IFERROR(TEXT(_xludf.maxifs(Completions!G:G,Completions!A:A,A490),"yyyy-mm-dd hh:mm"),"—"))</f>
        <v/>
      </c>
    </row>
    <row r="491" spans="1:8" ht="21.75" customHeight="1" x14ac:dyDescent="0.2">
      <c r="A491" s="16" t="str">
        <f>IFERROR(IF(Members!A488="","",Members!A488),"")</f>
        <v/>
      </c>
      <c r="B491" s="16" t="str">
        <f>IFERROR(IF(Members!A488="","",Members!B488),"")</f>
        <v/>
      </c>
      <c r="C491" s="16" t="str">
        <f>IFERROR(IF(Members!A488="","",Members!C488),"")</f>
        <v/>
      </c>
      <c r="D491" s="16" t="str">
        <f>IFERROR(IF(Members!A488="","",Members!D488),"")</f>
        <v/>
      </c>
      <c r="E491" s="16" t="str">
        <f>IF(A491="","",COUNTIF(Completions!A:A,A491))</f>
        <v/>
      </c>
      <c r="F491" s="16" t="str">
        <f>IF(A491="","",SUMPRODUCT((Completions!A$2:A$5000=A491)*IFERROR(VLOOKUP(Completions!B$2:B$5000,$J$4:$K$18,2,FALSE()),0)))</f>
        <v/>
      </c>
      <c r="G491" s="16" t="str">
        <f t="shared" si="7"/>
        <v/>
      </c>
      <c r="H491" s="16" t="str">
        <f>IF(A491="","",IFERROR(TEXT(_xludf.maxifs(Completions!G:G,Completions!A:A,A491),"yyyy-mm-dd hh:mm"),"—"))</f>
        <v/>
      </c>
    </row>
    <row r="492" spans="1:8" ht="21.75" customHeight="1" x14ac:dyDescent="0.2">
      <c r="A492" s="17" t="str">
        <f>IFERROR(IF(Members!A489="","",Members!A489),"")</f>
        <v/>
      </c>
      <c r="B492" s="17" t="str">
        <f>IFERROR(IF(Members!A489="","",Members!B489),"")</f>
        <v/>
      </c>
      <c r="C492" s="17" t="str">
        <f>IFERROR(IF(Members!A489="","",Members!C489),"")</f>
        <v/>
      </c>
      <c r="D492" s="17" t="str">
        <f>IFERROR(IF(Members!A489="","",Members!D489),"")</f>
        <v/>
      </c>
      <c r="E492" s="17" t="str">
        <f>IF(A492="","",COUNTIF(Completions!A:A,A492))</f>
        <v/>
      </c>
      <c r="F492" s="17" t="str">
        <f>IF(A492="","",SUMPRODUCT((Completions!A$2:A$5000=A492)*IFERROR(VLOOKUP(Completions!B$2:B$5000,$J$4:$K$18,2,FALSE()),0)))</f>
        <v/>
      </c>
      <c r="G492" s="17" t="str">
        <f t="shared" si="7"/>
        <v/>
      </c>
      <c r="H492" s="17" t="str">
        <f>IF(A492="","",IFERROR(TEXT(_xludf.maxifs(Completions!G:G,Completions!A:A,A492),"yyyy-mm-dd hh:mm"),"—"))</f>
        <v/>
      </c>
    </row>
    <row r="493" spans="1:8" ht="21.75" customHeight="1" x14ac:dyDescent="0.2">
      <c r="A493" s="16" t="str">
        <f>IFERROR(IF(Members!A490="","",Members!A490),"")</f>
        <v/>
      </c>
      <c r="B493" s="16" t="str">
        <f>IFERROR(IF(Members!A490="","",Members!B490),"")</f>
        <v/>
      </c>
      <c r="C493" s="16" t="str">
        <f>IFERROR(IF(Members!A490="","",Members!C490),"")</f>
        <v/>
      </c>
      <c r="D493" s="16" t="str">
        <f>IFERROR(IF(Members!A490="","",Members!D490),"")</f>
        <v/>
      </c>
      <c r="E493" s="16" t="str">
        <f>IF(A493="","",COUNTIF(Completions!A:A,A493))</f>
        <v/>
      </c>
      <c r="F493" s="16" t="str">
        <f>IF(A493="","",SUMPRODUCT((Completions!A$2:A$5000=A493)*IFERROR(VLOOKUP(Completions!B$2:B$5000,$J$4:$K$18,2,FALSE()),0)))</f>
        <v/>
      </c>
      <c r="G493" s="16" t="str">
        <f t="shared" si="7"/>
        <v/>
      </c>
      <c r="H493" s="16" t="str">
        <f>IF(A493="","",IFERROR(TEXT(_xludf.maxifs(Completions!G:G,Completions!A:A,A493),"yyyy-mm-dd hh:mm"),"—"))</f>
        <v/>
      </c>
    </row>
    <row r="494" spans="1:8" ht="21.75" customHeight="1" x14ac:dyDescent="0.2">
      <c r="A494" s="17" t="str">
        <f>IFERROR(IF(Members!A491="","",Members!A491),"")</f>
        <v/>
      </c>
      <c r="B494" s="17" t="str">
        <f>IFERROR(IF(Members!A491="","",Members!B491),"")</f>
        <v/>
      </c>
      <c r="C494" s="17" t="str">
        <f>IFERROR(IF(Members!A491="","",Members!C491),"")</f>
        <v/>
      </c>
      <c r="D494" s="17" t="str">
        <f>IFERROR(IF(Members!A491="","",Members!D491),"")</f>
        <v/>
      </c>
      <c r="E494" s="17" t="str">
        <f>IF(A494="","",COUNTIF(Completions!A:A,A494))</f>
        <v/>
      </c>
      <c r="F494" s="17" t="str">
        <f>IF(A494="","",SUMPRODUCT((Completions!A$2:A$5000=A494)*IFERROR(VLOOKUP(Completions!B$2:B$5000,$J$4:$K$18,2,FALSE()),0)))</f>
        <v/>
      </c>
      <c r="G494" s="17" t="str">
        <f t="shared" si="7"/>
        <v/>
      </c>
      <c r="H494" s="17" t="str">
        <f>IF(A494="","",IFERROR(TEXT(_xludf.maxifs(Completions!G:G,Completions!A:A,A494),"yyyy-mm-dd hh:mm"),"—"))</f>
        <v/>
      </c>
    </row>
    <row r="495" spans="1:8" ht="21.75" customHeight="1" x14ac:dyDescent="0.2">
      <c r="A495" s="16" t="str">
        <f>IFERROR(IF(Members!A492="","",Members!A492),"")</f>
        <v/>
      </c>
      <c r="B495" s="16" t="str">
        <f>IFERROR(IF(Members!A492="","",Members!B492),"")</f>
        <v/>
      </c>
      <c r="C495" s="16" t="str">
        <f>IFERROR(IF(Members!A492="","",Members!C492),"")</f>
        <v/>
      </c>
      <c r="D495" s="16" t="str">
        <f>IFERROR(IF(Members!A492="","",Members!D492),"")</f>
        <v/>
      </c>
      <c r="E495" s="16" t="str">
        <f>IF(A495="","",COUNTIF(Completions!A:A,A495))</f>
        <v/>
      </c>
      <c r="F495" s="16" t="str">
        <f>IF(A495="","",SUMPRODUCT((Completions!A$2:A$5000=A495)*IFERROR(VLOOKUP(Completions!B$2:B$5000,$J$4:$K$18,2,FALSE()),0)))</f>
        <v/>
      </c>
      <c r="G495" s="16" t="str">
        <f t="shared" si="7"/>
        <v/>
      </c>
      <c r="H495" s="16" t="str">
        <f>IF(A495="","",IFERROR(TEXT(_xludf.maxifs(Completions!G:G,Completions!A:A,A495),"yyyy-mm-dd hh:mm"),"—"))</f>
        <v/>
      </c>
    </row>
    <row r="496" spans="1:8" ht="21.75" customHeight="1" x14ac:dyDescent="0.2">
      <c r="A496" s="17" t="str">
        <f>IFERROR(IF(Members!A493="","",Members!A493),"")</f>
        <v/>
      </c>
      <c r="B496" s="17" t="str">
        <f>IFERROR(IF(Members!A493="","",Members!B493),"")</f>
        <v/>
      </c>
      <c r="C496" s="17" t="str">
        <f>IFERROR(IF(Members!A493="","",Members!C493),"")</f>
        <v/>
      </c>
      <c r="D496" s="17" t="str">
        <f>IFERROR(IF(Members!A493="","",Members!D493),"")</f>
        <v/>
      </c>
      <c r="E496" s="17" t="str">
        <f>IF(A496="","",COUNTIF(Completions!A:A,A496))</f>
        <v/>
      </c>
      <c r="F496" s="17" t="str">
        <f>IF(A496="","",SUMPRODUCT((Completions!A$2:A$5000=A496)*IFERROR(VLOOKUP(Completions!B$2:B$5000,$J$4:$K$18,2,FALSE()),0)))</f>
        <v/>
      </c>
      <c r="G496" s="17" t="str">
        <f t="shared" si="7"/>
        <v/>
      </c>
      <c r="H496" s="17" t="str">
        <f>IF(A496="","",IFERROR(TEXT(_xludf.maxifs(Completions!G:G,Completions!A:A,A496),"yyyy-mm-dd hh:mm"),"—"))</f>
        <v/>
      </c>
    </row>
    <row r="497" spans="1:8" ht="21.75" customHeight="1" x14ac:dyDescent="0.2">
      <c r="A497" s="16" t="str">
        <f>IFERROR(IF(Members!A494="","",Members!A494),"")</f>
        <v/>
      </c>
      <c r="B497" s="16" t="str">
        <f>IFERROR(IF(Members!A494="","",Members!B494),"")</f>
        <v/>
      </c>
      <c r="C497" s="16" t="str">
        <f>IFERROR(IF(Members!A494="","",Members!C494),"")</f>
        <v/>
      </c>
      <c r="D497" s="16" t="str">
        <f>IFERROR(IF(Members!A494="","",Members!D494),"")</f>
        <v/>
      </c>
      <c r="E497" s="16" t="str">
        <f>IF(A497="","",COUNTIF(Completions!A:A,A497))</f>
        <v/>
      </c>
      <c r="F497" s="16" t="str">
        <f>IF(A497="","",SUMPRODUCT((Completions!A$2:A$5000=A497)*IFERROR(VLOOKUP(Completions!B$2:B$5000,$J$4:$K$18,2,FALSE()),0)))</f>
        <v/>
      </c>
      <c r="G497" s="16" t="str">
        <f t="shared" si="7"/>
        <v/>
      </c>
      <c r="H497" s="16" t="str">
        <f>IF(A497="","",IFERROR(TEXT(_xludf.maxifs(Completions!G:G,Completions!A:A,A497),"yyyy-mm-dd hh:mm"),"—"))</f>
        <v/>
      </c>
    </row>
    <row r="498" spans="1:8" ht="21.75" customHeight="1" x14ac:dyDescent="0.2">
      <c r="A498" s="17" t="str">
        <f>IFERROR(IF(Members!A495="","",Members!A495),"")</f>
        <v/>
      </c>
      <c r="B498" s="17" t="str">
        <f>IFERROR(IF(Members!A495="","",Members!B495),"")</f>
        <v/>
      </c>
      <c r="C498" s="17" t="str">
        <f>IFERROR(IF(Members!A495="","",Members!C495),"")</f>
        <v/>
      </c>
      <c r="D498" s="17" t="str">
        <f>IFERROR(IF(Members!A495="","",Members!D495),"")</f>
        <v/>
      </c>
      <c r="E498" s="17" t="str">
        <f>IF(A498="","",COUNTIF(Completions!A:A,A498))</f>
        <v/>
      </c>
      <c r="F498" s="17" t="str">
        <f>IF(A498="","",SUMPRODUCT((Completions!A$2:A$5000=A498)*IFERROR(VLOOKUP(Completions!B$2:B$5000,$J$4:$K$18,2,FALSE()),0)))</f>
        <v/>
      </c>
      <c r="G498" s="17" t="str">
        <f t="shared" si="7"/>
        <v/>
      </c>
      <c r="H498" s="17" t="str">
        <f>IF(A498="","",IFERROR(TEXT(_xludf.maxifs(Completions!G:G,Completions!A:A,A498),"yyyy-mm-dd hh:mm"),"—"))</f>
        <v/>
      </c>
    </row>
    <row r="499" spans="1:8" ht="21.75" customHeight="1" x14ac:dyDescent="0.2">
      <c r="A499" s="16" t="str">
        <f>IFERROR(IF(Members!A496="","",Members!A496),"")</f>
        <v/>
      </c>
      <c r="B499" s="16" t="str">
        <f>IFERROR(IF(Members!A496="","",Members!B496),"")</f>
        <v/>
      </c>
      <c r="C499" s="16" t="str">
        <f>IFERROR(IF(Members!A496="","",Members!C496),"")</f>
        <v/>
      </c>
      <c r="D499" s="16" t="str">
        <f>IFERROR(IF(Members!A496="","",Members!D496),"")</f>
        <v/>
      </c>
      <c r="E499" s="16" t="str">
        <f>IF(A499="","",COUNTIF(Completions!A:A,A499))</f>
        <v/>
      </c>
      <c r="F499" s="16" t="str">
        <f>IF(A499="","",SUMPRODUCT((Completions!A$2:A$5000=A499)*IFERROR(VLOOKUP(Completions!B$2:B$5000,$J$4:$K$18,2,FALSE()),0)))</f>
        <v/>
      </c>
      <c r="G499" s="16" t="str">
        <f t="shared" si="7"/>
        <v/>
      </c>
      <c r="H499" s="16" t="str">
        <f>IF(A499="","",IFERROR(TEXT(_xludf.maxifs(Completions!G:G,Completions!A:A,A499),"yyyy-mm-dd hh:mm"),"—"))</f>
        <v/>
      </c>
    </row>
    <row r="500" spans="1:8" ht="21.75" customHeight="1" x14ac:dyDescent="0.2">
      <c r="A500" s="17" t="str">
        <f>IFERROR(IF(Members!A497="","",Members!A497),"")</f>
        <v/>
      </c>
      <c r="B500" s="17" t="str">
        <f>IFERROR(IF(Members!A497="","",Members!B497),"")</f>
        <v/>
      </c>
      <c r="C500" s="17" t="str">
        <f>IFERROR(IF(Members!A497="","",Members!C497),"")</f>
        <v/>
      </c>
      <c r="D500" s="17" t="str">
        <f>IFERROR(IF(Members!A497="","",Members!D497),"")</f>
        <v/>
      </c>
      <c r="E500" s="17" t="str">
        <f>IF(A500="","",COUNTIF(Completions!A:A,A500))</f>
        <v/>
      </c>
      <c r="F500" s="17" t="str">
        <f>IF(A500="","",SUMPRODUCT((Completions!A$2:A$5000=A500)*IFERROR(VLOOKUP(Completions!B$2:B$5000,$J$4:$K$18,2,FALSE()),0)))</f>
        <v/>
      </c>
      <c r="G500" s="17" t="str">
        <f t="shared" si="7"/>
        <v/>
      </c>
      <c r="H500" s="17" t="str">
        <f>IF(A500="","",IFERROR(TEXT(_xludf.maxifs(Completions!G:G,Completions!A:A,A500),"yyyy-mm-dd hh:mm"),"—"))</f>
        <v/>
      </c>
    </row>
    <row r="501" spans="1:8" ht="21.75" customHeight="1" x14ac:dyDescent="0.2">
      <c r="A501" s="16" t="str">
        <f>IFERROR(IF(Members!A498="","",Members!A498),"")</f>
        <v/>
      </c>
      <c r="B501" s="16" t="str">
        <f>IFERROR(IF(Members!A498="","",Members!B498),"")</f>
        <v/>
      </c>
      <c r="C501" s="16" t="str">
        <f>IFERROR(IF(Members!A498="","",Members!C498),"")</f>
        <v/>
      </c>
      <c r="D501" s="16" t="str">
        <f>IFERROR(IF(Members!A498="","",Members!D498),"")</f>
        <v/>
      </c>
      <c r="E501" s="16" t="str">
        <f>IF(A501="","",COUNTIF(Completions!A:A,A501))</f>
        <v/>
      </c>
      <c r="F501" s="16" t="str">
        <f>IF(A501="","",SUMPRODUCT((Completions!A$2:A$5000=A501)*IFERROR(VLOOKUP(Completions!B$2:B$5000,$J$4:$K$18,2,FALSE()),0)))</f>
        <v/>
      </c>
      <c r="G501" s="16" t="str">
        <f t="shared" si="7"/>
        <v/>
      </c>
      <c r="H501" s="16" t="str">
        <f>IF(A501="","",IFERROR(TEXT(_xludf.maxifs(Completions!G:G,Completions!A:A,A501),"yyyy-mm-dd hh:mm"),"—"))</f>
        <v/>
      </c>
    </row>
    <row r="502" spans="1:8" ht="21.75" customHeight="1" x14ac:dyDescent="0.2">
      <c r="A502" s="17" t="str">
        <f>IFERROR(IF(Members!A499="","",Members!A499),"")</f>
        <v/>
      </c>
      <c r="B502" s="17" t="str">
        <f>IFERROR(IF(Members!A499="","",Members!B499),"")</f>
        <v/>
      </c>
      <c r="C502" s="17" t="str">
        <f>IFERROR(IF(Members!A499="","",Members!C499),"")</f>
        <v/>
      </c>
      <c r="D502" s="17" t="str">
        <f>IFERROR(IF(Members!A499="","",Members!D499),"")</f>
        <v/>
      </c>
      <c r="E502" s="17" t="str">
        <f>IF(A502="","",COUNTIF(Completions!A:A,A502))</f>
        <v/>
      </c>
      <c r="F502" s="17" t="str">
        <f>IF(A502="","",SUMPRODUCT((Completions!A$2:A$5000=A502)*IFERROR(VLOOKUP(Completions!B$2:B$5000,$J$4:$K$18,2,FALSE()),0)))</f>
        <v/>
      </c>
      <c r="G502" s="17" t="str">
        <f t="shared" si="7"/>
        <v/>
      </c>
      <c r="H502" s="17" t="str">
        <f>IF(A502="","",IFERROR(TEXT(_xludf.maxifs(Completions!G:G,Completions!A:A,A502),"yyyy-mm-dd hh:mm"),"—"))</f>
        <v/>
      </c>
    </row>
    <row r="503" spans="1:8" ht="21.75" customHeight="1" x14ac:dyDescent="0.2">
      <c r="A503" s="16" t="str">
        <f>IFERROR(IF(Members!A500="","",Members!A500),"")</f>
        <v/>
      </c>
      <c r="B503" s="16" t="str">
        <f>IFERROR(IF(Members!A500="","",Members!B500),"")</f>
        <v/>
      </c>
      <c r="C503" s="16" t="str">
        <f>IFERROR(IF(Members!A500="","",Members!C500),"")</f>
        <v/>
      </c>
      <c r="D503" s="16" t="str">
        <f>IFERROR(IF(Members!A500="","",Members!D500),"")</f>
        <v/>
      </c>
      <c r="E503" s="16" t="str">
        <f>IF(A503="","",COUNTIF(Completions!A:A,A503))</f>
        <v/>
      </c>
      <c r="F503" s="16" t="str">
        <f>IF(A503="","",SUMPRODUCT((Completions!A$2:A$5000=A503)*IFERROR(VLOOKUP(Completions!B$2:B$5000,$J$4:$K$18,2,FALSE()),0)))</f>
        <v/>
      </c>
      <c r="G503" s="16" t="str">
        <f t="shared" si="7"/>
        <v/>
      </c>
      <c r="H503" s="16" t="str">
        <f>IF(A503="","",IFERROR(TEXT(_xludf.maxifs(Completions!G:G,Completions!A:A,A503),"yyyy-mm-dd hh:mm"),"—"))</f>
        <v/>
      </c>
    </row>
    <row r="504" spans="1:8" ht="21.75" customHeight="1" x14ac:dyDescent="0.2">
      <c r="A504" s="17" t="str">
        <f>IFERROR(IF(Members!A501="","",Members!A501),"")</f>
        <v/>
      </c>
      <c r="B504" s="17" t="str">
        <f>IFERROR(IF(Members!A501="","",Members!B501),"")</f>
        <v/>
      </c>
      <c r="C504" s="17" t="str">
        <f>IFERROR(IF(Members!A501="","",Members!C501),"")</f>
        <v/>
      </c>
      <c r="D504" s="17" t="str">
        <f>IFERROR(IF(Members!A501="","",Members!D501),"")</f>
        <v/>
      </c>
      <c r="E504" s="17" t="str">
        <f>IF(A504="","",COUNTIF(Completions!A:A,A504))</f>
        <v/>
      </c>
      <c r="F504" s="17" t="str">
        <f>IF(A504="","",SUMPRODUCT((Completions!A$2:A$5000=A504)*IFERROR(VLOOKUP(Completions!B$2:B$5000,$J$4:$K$18,2,FALSE()),0)))</f>
        <v/>
      </c>
      <c r="G504" s="17" t="str">
        <f t="shared" si="7"/>
        <v/>
      </c>
      <c r="H504" s="17" t="str">
        <f>IF(A504="","",IFERROR(TEXT(_xludf.maxifs(Completions!G:G,Completions!A:A,A504),"yyyy-mm-dd hh:mm"),"—"))</f>
        <v/>
      </c>
    </row>
  </sheetData>
  <mergeCells count="2">
    <mergeCell ref="A1:G1"/>
    <mergeCell ref="A2:G2"/>
  </mergeCells>
  <conditionalFormatting sqref="F5:F504">
    <cfRule type="colorScale" priority="5">
      <colorScale>
        <cfvo type="num" val="0"/>
        <cfvo type="num" val="10"/>
        <cfvo type="num" val="20"/>
        <color rgb="FFFFFFFF"/>
        <color rgb="FFFFE5C2"/>
        <color rgb="FFE87722"/>
      </colorScale>
    </cfRule>
  </conditionalFormatting>
  <conditionalFormatting sqref="G5:G504">
    <cfRule type="cellIs" dxfId="2" priority="2" operator="equal">
      <formula>"Gold"</formula>
    </cfRule>
    <cfRule type="cellIs" dxfId="1" priority="3" operator="equal">
      <formula>"Silver"</formula>
    </cfRule>
    <cfRule type="cellIs" dxfId="0" priority="4" operator="equal">
      <formula>"Bronze"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zoomScaleNormal="100" workbookViewId="0"/>
  </sheetViews>
  <sheetFormatPr baseColWidth="10" defaultColWidth="8.6640625" defaultRowHeight="15" x14ac:dyDescent="0.2"/>
  <cols>
    <col min="1" max="1" width="10" customWidth="1"/>
    <col min="2" max="2" width="38" customWidth="1"/>
    <col min="3" max="3" width="22" customWidth="1"/>
    <col min="4" max="4" width="14" customWidth="1"/>
    <col min="5" max="5" width="8" customWidth="1"/>
    <col min="6" max="6" width="28" customWidth="1"/>
    <col min="7" max="7" width="38" customWidth="1"/>
  </cols>
  <sheetData>
    <row r="1" spans="1:7" x14ac:dyDescent="0.2">
      <c r="A1" s="9" t="s">
        <v>23</v>
      </c>
      <c r="B1" s="9" t="s">
        <v>63</v>
      </c>
      <c r="C1" s="9" t="s">
        <v>64</v>
      </c>
      <c r="D1" s="9" t="s">
        <v>65</v>
      </c>
      <c r="E1" s="9" t="s">
        <v>35</v>
      </c>
      <c r="F1" s="9" t="s">
        <v>66</v>
      </c>
      <c r="G1" s="9" t="s">
        <v>67</v>
      </c>
    </row>
    <row r="2" spans="1:7" ht="31.5" customHeight="1" x14ac:dyDescent="0.2">
      <c r="A2" s="18" t="s">
        <v>45</v>
      </c>
      <c r="B2" s="18" t="s">
        <v>68</v>
      </c>
      <c r="C2" s="18" t="s">
        <v>69</v>
      </c>
      <c r="D2" s="18" t="s">
        <v>70</v>
      </c>
      <c r="E2" s="18">
        <v>3</v>
      </c>
      <c r="F2" s="18" t="s">
        <v>71</v>
      </c>
      <c r="G2" s="18" t="s">
        <v>72</v>
      </c>
    </row>
    <row r="3" spans="1:7" ht="31.5" customHeight="1" x14ac:dyDescent="0.2">
      <c r="A3" s="19" t="s">
        <v>47</v>
      </c>
      <c r="B3" s="19" t="s">
        <v>73</v>
      </c>
      <c r="C3" s="19" t="s">
        <v>74</v>
      </c>
      <c r="D3" s="19" t="s">
        <v>70</v>
      </c>
      <c r="E3" s="19">
        <v>3</v>
      </c>
      <c r="F3" s="19" t="s">
        <v>75</v>
      </c>
      <c r="G3" s="19" t="s">
        <v>76</v>
      </c>
    </row>
    <row r="4" spans="1:7" ht="31.5" customHeight="1" x14ac:dyDescent="0.2">
      <c r="A4" s="18" t="s">
        <v>49</v>
      </c>
      <c r="B4" s="18" t="s">
        <v>77</v>
      </c>
      <c r="C4" s="18" t="s">
        <v>78</v>
      </c>
      <c r="D4" s="18" t="s">
        <v>79</v>
      </c>
      <c r="E4" s="18">
        <v>2</v>
      </c>
      <c r="F4" s="18" t="s">
        <v>80</v>
      </c>
      <c r="G4" s="18" t="s">
        <v>81</v>
      </c>
    </row>
    <row r="5" spans="1:7" ht="31.5" customHeight="1" x14ac:dyDescent="0.2">
      <c r="A5" s="19" t="s">
        <v>51</v>
      </c>
      <c r="B5" s="19" t="s">
        <v>82</v>
      </c>
      <c r="C5" s="19" t="s">
        <v>83</v>
      </c>
      <c r="D5" s="19" t="s">
        <v>79</v>
      </c>
      <c r="E5" s="19">
        <v>2</v>
      </c>
      <c r="F5" s="19" t="s">
        <v>84</v>
      </c>
      <c r="G5" s="19" t="s">
        <v>85</v>
      </c>
    </row>
    <row r="6" spans="1:7" ht="31.5" customHeight="1" x14ac:dyDescent="0.2">
      <c r="A6" s="18" t="s">
        <v>52</v>
      </c>
      <c r="B6" s="18" t="s">
        <v>86</v>
      </c>
      <c r="C6" s="18" t="s">
        <v>87</v>
      </c>
      <c r="D6" s="18" t="s">
        <v>88</v>
      </c>
      <c r="E6" s="18">
        <v>2</v>
      </c>
      <c r="F6" s="18" t="s">
        <v>89</v>
      </c>
      <c r="G6" s="18" t="s">
        <v>90</v>
      </c>
    </row>
    <row r="7" spans="1:7" ht="31.5" customHeight="1" x14ac:dyDescent="0.2">
      <c r="A7" s="19" t="s">
        <v>53</v>
      </c>
      <c r="B7" s="19" t="s">
        <v>91</v>
      </c>
      <c r="C7" s="19" t="s">
        <v>74</v>
      </c>
      <c r="D7" s="19" t="s">
        <v>70</v>
      </c>
      <c r="E7" s="19">
        <v>4</v>
      </c>
      <c r="F7" s="19" t="s">
        <v>92</v>
      </c>
      <c r="G7" s="19" t="s">
        <v>93</v>
      </c>
    </row>
    <row r="8" spans="1:7" ht="31.5" customHeight="1" x14ac:dyDescent="0.2">
      <c r="A8" s="18" t="s">
        <v>54</v>
      </c>
      <c r="B8" s="18" t="s">
        <v>94</v>
      </c>
      <c r="C8" s="18" t="s">
        <v>78</v>
      </c>
      <c r="D8" s="18" t="s">
        <v>70</v>
      </c>
      <c r="E8" s="18">
        <v>3</v>
      </c>
      <c r="F8" s="18" t="s">
        <v>95</v>
      </c>
      <c r="G8" s="18" t="s">
        <v>96</v>
      </c>
    </row>
    <row r="9" spans="1:7" ht="31.5" customHeight="1" x14ac:dyDescent="0.2">
      <c r="A9" s="19" t="s">
        <v>55</v>
      </c>
      <c r="B9" s="19" t="s">
        <v>97</v>
      </c>
      <c r="C9" s="19" t="s">
        <v>87</v>
      </c>
      <c r="D9" s="19" t="s">
        <v>88</v>
      </c>
      <c r="E9" s="19">
        <v>3</v>
      </c>
      <c r="F9" s="19" t="s">
        <v>98</v>
      </c>
      <c r="G9" s="19" t="s">
        <v>99</v>
      </c>
    </row>
    <row r="10" spans="1:7" ht="31.5" customHeight="1" x14ac:dyDescent="0.2">
      <c r="A10" s="18" t="s">
        <v>56</v>
      </c>
      <c r="B10" s="18" t="s">
        <v>100</v>
      </c>
      <c r="C10" s="18" t="s">
        <v>74</v>
      </c>
      <c r="D10" s="18" t="s">
        <v>79</v>
      </c>
      <c r="E10" s="18">
        <v>3</v>
      </c>
      <c r="F10" s="18" t="s">
        <v>101</v>
      </c>
      <c r="G10" s="18" t="s">
        <v>102</v>
      </c>
    </row>
    <row r="11" spans="1:7" ht="31.5" customHeight="1" x14ac:dyDescent="0.2">
      <c r="A11" s="19" t="s">
        <v>57</v>
      </c>
      <c r="B11" s="19" t="s">
        <v>103</v>
      </c>
      <c r="C11" s="19" t="s">
        <v>83</v>
      </c>
      <c r="D11" s="19" t="s">
        <v>70</v>
      </c>
      <c r="E11" s="19">
        <v>2</v>
      </c>
      <c r="F11" s="19" t="s">
        <v>95</v>
      </c>
      <c r="G11" s="19" t="s">
        <v>104</v>
      </c>
    </row>
    <row r="12" spans="1:7" ht="31.5" customHeight="1" x14ac:dyDescent="0.2">
      <c r="A12" s="18" t="s">
        <v>58</v>
      </c>
      <c r="B12" s="18" t="s">
        <v>105</v>
      </c>
      <c r="C12" s="18" t="s">
        <v>87</v>
      </c>
      <c r="D12" s="18" t="s">
        <v>88</v>
      </c>
      <c r="E12" s="18">
        <v>2</v>
      </c>
      <c r="F12" s="18" t="s">
        <v>106</v>
      </c>
      <c r="G12" s="18" t="s">
        <v>107</v>
      </c>
    </row>
    <row r="13" spans="1:7" ht="31.5" customHeight="1" x14ac:dyDescent="0.2">
      <c r="A13" s="19" t="s">
        <v>59</v>
      </c>
      <c r="B13" s="19" t="s">
        <v>108</v>
      </c>
      <c r="C13" s="19" t="s">
        <v>109</v>
      </c>
      <c r="D13" s="19" t="s">
        <v>70</v>
      </c>
      <c r="E13" s="19">
        <v>4</v>
      </c>
      <c r="F13" s="19" t="s">
        <v>110</v>
      </c>
      <c r="G13" s="19" t="s">
        <v>111</v>
      </c>
    </row>
    <row r="14" spans="1:7" ht="31.5" customHeight="1" x14ac:dyDescent="0.2">
      <c r="A14" s="18" t="s">
        <v>60</v>
      </c>
      <c r="B14" s="18" t="s">
        <v>112</v>
      </c>
      <c r="C14" s="18" t="s">
        <v>78</v>
      </c>
      <c r="D14" s="18" t="s">
        <v>79</v>
      </c>
      <c r="E14" s="18">
        <v>2</v>
      </c>
      <c r="F14" s="18" t="s">
        <v>113</v>
      </c>
      <c r="G14" s="18" t="s">
        <v>114</v>
      </c>
    </row>
    <row r="15" spans="1:7" ht="31.5" customHeight="1" x14ac:dyDescent="0.2">
      <c r="A15" s="19" t="s">
        <v>61</v>
      </c>
      <c r="B15" s="19" t="s">
        <v>115</v>
      </c>
      <c r="C15" s="19" t="s">
        <v>69</v>
      </c>
      <c r="D15" s="19" t="s">
        <v>70</v>
      </c>
      <c r="E15" s="19">
        <v>3</v>
      </c>
      <c r="F15" s="19" t="s">
        <v>116</v>
      </c>
      <c r="G15" s="19" t="s">
        <v>117</v>
      </c>
    </row>
    <row r="16" spans="1:7" ht="31.5" customHeight="1" x14ac:dyDescent="0.2">
      <c r="A16" s="18" t="s">
        <v>62</v>
      </c>
      <c r="B16" s="18" t="s">
        <v>118</v>
      </c>
      <c r="C16" s="18" t="s">
        <v>109</v>
      </c>
      <c r="D16" s="18" t="s">
        <v>88</v>
      </c>
      <c r="E16" s="18">
        <v>2</v>
      </c>
      <c r="F16" s="18" t="s">
        <v>119</v>
      </c>
      <c r="G16" s="18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Members</vt:lpstr>
      <vt:lpstr>Completions</vt:lpstr>
      <vt:lpstr>Live Progress</vt:lpstr>
      <vt:lpstr>Tasks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Tyrone Gentry</cp:lastModifiedBy>
  <cp:revision>0</cp:revision>
  <dcterms:created xsi:type="dcterms:W3CDTF">2026-05-09T00:48:29Z</dcterms:created>
  <dcterms:modified xsi:type="dcterms:W3CDTF">2026-10-08T21:37:15Z</dcterms:modified>
  <dc:language>en-US</dc:language>
</cp:coreProperties>
</file>